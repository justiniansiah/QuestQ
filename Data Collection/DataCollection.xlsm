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chool Stuff\40 .015 Simulation Modelling and Analysis\Project\Data Collection\"/>
    </mc:Choice>
  </mc:AlternateContent>
  <xr:revisionPtr revIDLastSave="0" documentId="13_ncr:1_{5479E8C7-B95D-4311-AC94-FA2683B226E2}" xr6:coauthVersionLast="37" xr6:coauthVersionMax="37" xr10:uidLastSave="{00000000-0000-0000-0000-000000000000}"/>
  <bookViews>
    <workbookView xWindow="0" yWindow="0" windowWidth="23040" windowHeight="7848" activeTab="1" xr2:uid="{BD998620-A098-4F53-BD57-225A0D379B7A}"/>
  </bookViews>
  <sheets>
    <sheet name="Customer Monitoring" sheetId="1" r:id="rId1"/>
    <sheet name="Log" sheetId="2" r:id="rId2"/>
  </sheets>
  <functionGroups builtInGroupCount="19"/>
  <definedNames>
    <definedName name="ArrivalTimeLog">Log!$D$10:$D$1048576</definedName>
    <definedName name="Current_Customers">Log!$B$2</definedName>
    <definedName name="CustomerIndexLog">Log!$B$10:$B$1048576</definedName>
    <definedName name="CustomerNumberLog">Log!$C$10:$C$1048576</definedName>
    <definedName name="DepartureTimeLog">Log!$F$10:$F$1048576</definedName>
    <definedName name="InterarrivalTimeLog">Log!$E$10:$E$1048576</definedName>
    <definedName name="LeadTimeLog">Log!$G$10:$G$1048576</definedName>
    <definedName name="Max_ArrivalTime">Log!$D$6</definedName>
    <definedName name="Max_CustomerNumber">Log!$C$6</definedName>
    <definedName name="Max_DepartureTime">Log!$F$6</definedName>
    <definedName name="Max_Interarrival">Log!$E$6</definedName>
    <definedName name="Max_LeadTime">Log!$G$6</definedName>
    <definedName name="Mean_ArrivalTime">Log!$D$8</definedName>
    <definedName name="Mean_CustomerNumber">Log!$C$8</definedName>
    <definedName name="Mean_DepartureTime">Log!$F$8</definedName>
    <definedName name="Mean_Interarrival">Log!$E$8</definedName>
    <definedName name="Mean_LeadTime">Log!$G$8</definedName>
    <definedName name="Min_ArrivalTime">Log!$D$7</definedName>
    <definedName name="Min_CustomerNumber">Log!$C$7</definedName>
    <definedName name="Min_DepartureTime">Log!$F$7</definedName>
    <definedName name="Min_Interarrival">Log!$E$7</definedName>
    <definedName name="Min_LeadTime">Log!$G$7</definedName>
    <definedName name="SD_ArrivalTIme">Log!$D$9</definedName>
    <definedName name="SD_CustomerNumber">Log!$C$9</definedName>
    <definedName name="SD_DepartureTime">Log!$F$9</definedName>
    <definedName name="SD_Interarrival">Log!$E$9</definedName>
    <definedName name="SD_LeadTime">Log!$G$9</definedName>
    <definedName name="StartTime">Log!$C$1</definedName>
    <definedName name="Total_Customers">Log!$B$3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1" l="1"/>
  <c r="B3" i="1"/>
  <c r="C1" i="1" l="1"/>
  <c r="A1" i="1"/>
  <c r="B1" i="2" l="1"/>
  <c r="B1" i="1" s="1"/>
</calcChain>
</file>

<file path=xl/sharedStrings.xml><?xml version="1.0" encoding="utf-8"?>
<sst xmlns="http://schemas.openxmlformats.org/spreadsheetml/2006/main" count="17" uniqueCount="17">
  <si>
    <t>Customer Number</t>
  </si>
  <si>
    <t>Arrival Time</t>
  </si>
  <si>
    <t xml:space="preserve">Departure Time </t>
  </si>
  <si>
    <t>Current Data</t>
  </si>
  <si>
    <t>Max</t>
  </si>
  <si>
    <t>Min</t>
  </si>
  <si>
    <t>Mean</t>
  </si>
  <si>
    <t>Std. Dev.</t>
  </si>
  <si>
    <t>Start Time of Log</t>
  </si>
  <si>
    <t>Current Customers:</t>
  </si>
  <si>
    <t>Total Customer:</t>
  </si>
  <si>
    <t>Customer Index</t>
  </si>
  <si>
    <t>Total Customers</t>
  </si>
  <si>
    <t>Current Customers</t>
  </si>
  <si>
    <t>Interarrival Time (s)</t>
  </si>
  <si>
    <t>Waiting Time (s)</t>
  </si>
  <si>
    <t>Lead Time 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</si>
</sst>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7" tint="0.7999816888943144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19" fontId="0" fillId="0" borderId="0" xfId="0" applyNumberFormat="1"/>
    <xf numFmtId="164" fontId="0" fillId="0" borderId="0" xfId="0" applyNumberFormat="1"/>
    <xf numFmtId="0" fontId="0" fillId="2" borderId="0" xfId="0" applyFill="1"/>
    <xf numFmtId="22" fontId="0" fillId="2" borderId="0" xfId="0" applyNumberFormat="1" applyFill="1" applyAlignment="1">
      <alignment horizontal="center"/>
    </xf>
    <xf numFmtId="19" fontId="0" fillId="2" borderId="0" xfId="0" applyNumberForma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19" fontId="0" fillId="3" borderId="0" xfId="0" applyNumberFormat="1" applyFill="1"/>
    <xf numFmtId="1" fontId="0" fillId="0" borderId="0" xfId="0" applyNumberFormat="1"/>
    <xf numFmtId="1" fontId="0" fillId="4" borderId="0" xfId="0" applyNumberFormat="1" applyFill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0" fillId="3" borderId="0" xfId="0" applyNumberFormat="1" applyFill="1" applyAlignment="1">
      <alignment horizontal="right"/>
    </xf>
    <xf numFmtId="0" fontId="0" fillId="4" borderId="0" xfId="0" applyFill="1" applyAlignment="1">
      <alignment horizontal="center" vertical="center" wrapText="1"/>
    </xf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7</xdr:row>
          <xdr:rowOff>45720</xdr:rowOff>
        </xdr:from>
        <xdr:to>
          <xdr:col>4</xdr:col>
          <xdr:colOff>381000</xdr:colOff>
          <xdr:row>14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21</xdr:row>
          <xdr:rowOff>152400</xdr:rowOff>
        </xdr:from>
        <xdr:to>
          <xdr:col>11</xdr:col>
          <xdr:colOff>198120</xdr:colOff>
          <xdr:row>24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7</xdr:row>
          <xdr:rowOff>60960</xdr:rowOff>
        </xdr:from>
        <xdr:to>
          <xdr:col>11</xdr:col>
          <xdr:colOff>83820</xdr:colOff>
          <xdr:row>14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 Leaves Queue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2F877-F5B1-43AC-999D-4287348DC99F}">
  <sheetPr codeName="Sheet1"/>
  <dimension ref="A1:C3"/>
  <sheetViews>
    <sheetView workbookViewId="0">
      <selection activeCell="D16" sqref="D16"/>
    </sheetView>
  </sheetViews>
  <sheetFormatPr defaultRowHeight="14.4" x14ac:dyDescent="0.3"/>
  <cols>
    <col min="1" max="1" width="17.88671875" bestFit="1" customWidth="1"/>
    <col min="2" max="2" width="12.21875" customWidth="1"/>
    <col min="3" max="3" width="10.21875" bestFit="1" customWidth="1"/>
  </cols>
  <sheetData>
    <row r="1" spans="1:3" ht="32.4" customHeight="1" x14ac:dyDescent="0.3">
      <c r="A1" t="str">
        <f>Log!A1</f>
        <v>Start Time of Log</v>
      </c>
      <c r="B1" s="2" t="str">
        <f ca="1">Log!B1</f>
        <v>21/10/2018</v>
      </c>
      <c r="C1" s="4">
        <f>StartTime</f>
        <v>0.97019675925925919</v>
      </c>
    </row>
    <row r="2" spans="1:3" x14ac:dyDescent="0.3">
      <c r="A2" t="s">
        <v>9</v>
      </c>
      <c r="B2">
        <f>Current_Customers</f>
        <v>0</v>
      </c>
    </row>
    <row r="3" spans="1:3" x14ac:dyDescent="0.3">
      <c r="A3" t="s">
        <v>10</v>
      </c>
      <c r="B3">
        <f>Total_Customers</f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Add_New_Customer_ButtonClick">
                <anchor moveWithCells="1" sizeWithCells="1">
                  <from>
                    <xdr:col>0</xdr:col>
                    <xdr:colOff>502920</xdr:colOff>
                    <xdr:row>7</xdr:row>
                    <xdr:rowOff>45720</xdr:rowOff>
                  </from>
                  <to>
                    <xdr:col>4</xdr:col>
                    <xdr:colOff>381000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Reset_ButtonClick">
                <anchor moveWithCells="1" sizeWithCells="1">
                  <from>
                    <xdr:col>9</xdr:col>
                    <xdr:colOff>556260</xdr:colOff>
                    <xdr:row>21</xdr:row>
                    <xdr:rowOff>152400</xdr:rowOff>
                  </from>
                  <to>
                    <xdr:col>11</xdr:col>
                    <xdr:colOff>198120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ustomer_Leave_ButtonClick">
                <anchor moveWithCells="1" sizeWithCells="1">
                  <from>
                    <xdr:col>5</xdr:col>
                    <xdr:colOff>487680</xdr:colOff>
                    <xdr:row>7</xdr:row>
                    <xdr:rowOff>60960</xdr:rowOff>
                  </from>
                  <to>
                    <xdr:col>11</xdr:col>
                    <xdr:colOff>83820</xdr:colOff>
                    <xdr:row>14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6C94-296C-4A3A-9E28-F7A81D57BAC6}">
  <sheetPr codeName="Sheet2"/>
  <dimension ref="A1:H34"/>
  <sheetViews>
    <sheetView tabSelected="1" workbookViewId="0">
      <selection activeCell="F14" sqref="F14"/>
    </sheetView>
  </sheetViews>
  <sheetFormatPr defaultRowHeight="14.4" x14ac:dyDescent="0.3"/>
  <cols>
    <col min="1" max="2" width="17.109375" customWidth="1"/>
    <col min="3" max="3" width="17.109375" style="1" bestFit="1" customWidth="1"/>
    <col min="4" max="4" width="15.6640625" bestFit="1" customWidth="1"/>
    <col min="5" max="5" width="12.88671875" style="17" customWidth="1"/>
    <col min="6" max="6" width="17.88671875" customWidth="1"/>
    <col min="7" max="7" width="11.5546875" style="15" customWidth="1"/>
    <col min="8" max="8" width="11.21875" customWidth="1"/>
  </cols>
  <sheetData>
    <row r="1" spans="1:8" ht="28.2" customHeight="1" x14ac:dyDescent="0.3">
      <c r="A1" s="5" t="s">
        <v>8</v>
      </c>
      <c r="B1" s="6" t="str">
        <f ca="1">TEXT(NOW(), "dd/mm/yyyy")</f>
        <v>21/10/2018</v>
      </c>
      <c r="C1" s="7">
        <v>0.97019675925925919</v>
      </c>
      <c r="G1"/>
    </row>
    <row r="2" spans="1:8" x14ac:dyDescent="0.3">
      <c r="A2" s="12" t="s">
        <v>13</v>
      </c>
      <c r="B2" s="13">
        <v>0</v>
      </c>
      <c r="C2"/>
      <c r="G2"/>
    </row>
    <row r="3" spans="1:8" x14ac:dyDescent="0.3">
      <c r="A3" s="12" t="s">
        <v>12</v>
      </c>
      <c r="B3" s="13">
        <v>7</v>
      </c>
      <c r="C3"/>
      <c r="G3"/>
    </row>
    <row r="4" spans="1:8" x14ac:dyDescent="0.3">
      <c r="G4"/>
    </row>
    <row r="5" spans="1:8" ht="28.8" customHeight="1" x14ac:dyDescent="0.3">
      <c r="A5" s="10" t="s">
        <v>3</v>
      </c>
      <c r="B5" s="10" t="s">
        <v>11</v>
      </c>
      <c r="C5" s="10" t="s">
        <v>0</v>
      </c>
      <c r="D5" s="10" t="s">
        <v>1</v>
      </c>
      <c r="E5" s="16" t="s">
        <v>14</v>
      </c>
      <c r="F5" s="10" t="s">
        <v>2</v>
      </c>
      <c r="G5" s="19" t="s">
        <v>16</v>
      </c>
      <c r="H5" s="19" t="s">
        <v>15</v>
      </c>
    </row>
    <row r="6" spans="1:8" x14ac:dyDescent="0.3">
      <c r="A6" s="11" t="s">
        <v>4</v>
      </c>
      <c r="B6" s="8"/>
      <c r="C6" s="9">
        <v>4</v>
      </c>
      <c r="D6" s="8"/>
      <c r="E6" s="18">
        <v>3.9999999999974278</v>
      </c>
      <c r="F6" s="8"/>
      <c r="G6" s="8">
        <v>5.9999999999913456</v>
      </c>
      <c r="H6" s="8"/>
    </row>
    <row r="7" spans="1:8" x14ac:dyDescent="0.3">
      <c r="A7" s="11" t="s">
        <v>5</v>
      </c>
      <c r="B7" s="8"/>
      <c r="C7" s="9">
        <v>1</v>
      </c>
      <c r="D7" s="8"/>
      <c r="E7" s="18">
        <v>0</v>
      </c>
      <c r="F7" s="8"/>
      <c r="G7" s="8">
        <v>1.0000000000065512</v>
      </c>
      <c r="H7" s="8"/>
    </row>
    <row r="8" spans="1:8" x14ac:dyDescent="0.3">
      <c r="A8" s="11" t="s">
        <v>6</v>
      </c>
      <c r="B8" s="8"/>
      <c r="C8" s="9">
        <v>2.4285714285714284</v>
      </c>
      <c r="D8" s="8"/>
      <c r="E8" s="18">
        <v>1.7142857142859822</v>
      </c>
      <c r="F8" s="8"/>
      <c r="G8" s="8">
        <v>3.4285714285705944</v>
      </c>
      <c r="H8" s="8"/>
    </row>
    <row r="9" spans="1:8" x14ac:dyDescent="0.3">
      <c r="A9" s="11" t="s">
        <v>7</v>
      </c>
      <c r="B9" s="20">
        <v>1</v>
      </c>
      <c r="C9" s="9">
        <v>0</v>
      </c>
      <c r="D9" s="14"/>
      <c r="E9" s="18">
        <v>1.2535663410536626</v>
      </c>
      <c r="F9" s="14"/>
      <c r="G9" s="8">
        <v>1.7182493859650847</v>
      </c>
      <c r="H9" s="8"/>
    </row>
    <row r="10" spans="1:8" x14ac:dyDescent="0.3">
      <c r="B10">
        <v>1</v>
      </c>
      <c r="C10" s="1">
        <v>1</v>
      </c>
      <c r="D10" s="3">
        <v>0.97015046296296292</v>
      </c>
      <c r="E10" s="17">
        <v>0</v>
      </c>
      <c r="F10" s="3">
        <v>0.97016203703703707</v>
      </c>
      <c r="G10" s="15">
        <v>1.0000000000065512</v>
      </c>
    </row>
    <row r="11" spans="1:8" x14ac:dyDescent="0.3">
      <c r="B11">
        <v>2</v>
      </c>
      <c r="C11" s="1">
        <v>1</v>
      </c>
      <c r="D11" s="3">
        <v>0.97019675925925919</v>
      </c>
      <c r="E11" s="17">
        <v>3.9999999999974278</v>
      </c>
      <c r="F11" s="3">
        <v>0.97025462962962961</v>
      </c>
      <c r="G11" s="15">
        <v>5.000000000003979</v>
      </c>
    </row>
    <row r="12" spans="1:8" x14ac:dyDescent="0.3">
      <c r="B12">
        <v>3</v>
      </c>
      <c r="C12" s="1">
        <v>2</v>
      </c>
      <c r="D12" s="3">
        <v>0.97020833333333334</v>
      </c>
      <c r="E12" s="17">
        <v>1.0000000000065512</v>
      </c>
      <c r="F12" s="3">
        <v>0.97027777777777768</v>
      </c>
      <c r="G12" s="15">
        <v>5.9999999999913456</v>
      </c>
    </row>
    <row r="13" spans="1:8" x14ac:dyDescent="0.3">
      <c r="B13">
        <v>4</v>
      </c>
      <c r="C13" s="1">
        <v>3</v>
      </c>
      <c r="D13" s="3">
        <v>0.97023148148148142</v>
      </c>
      <c r="E13" s="17">
        <v>1.9999999999939178</v>
      </c>
      <c r="F13" s="3">
        <v>0.97027777777777768</v>
      </c>
      <c r="G13" s="15">
        <v>3.9999999999974278</v>
      </c>
    </row>
    <row r="14" spans="1:8" x14ac:dyDescent="0.3">
      <c r="B14">
        <v>5</v>
      </c>
      <c r="C14" s="1">
        <v>4</v>
      </c>
      <c r="D14" s="3">
        <v>0.97024305555555557</v>
      </c>
      <c r="E14" s="17">
        <v>1.0000000000065512</v>
      </c>
      <c r="F14" s="3">
        <v>0.97027777777777768</v>
      </c>
      <c r="G14" s="15">
        <v>2.9999999999908766</v>
      </c>
    </row>
    <row r="15" spans="1:8" x14ac:dyDescent="0.3">
      <c r="B15">
        <v>6</v>
      </c>
      <c r="C15" s="1">
        <v>4</v>
      </c>
      <c r="D15" s="3">
        <v>0.97026620370370376</v>
      </c>
      <c r="E15" s="17">
        <v>2.0000000000035101</v>
      </c>
      <c r="F15" s="3">
        <v>0.97030092592592598</v>
      </c>
      <c r="G15" s="15">
        <v>3.000000000000469</v>
      </c>
    </row>
    <row r="16" spans="1:8" x14ac:dyDescent="0.3">
      <c r="B16">
        <v>7</v>
      </c>
      <c r="C16" s="1">
        <v>2</v>
      </c>
      <c r="D16" s="3">
        <v>0.97028935185185183</v>
      </c>
      <c r="E16" s="17">
        <v>1.9999999999939178</v>
      </c>
      <c r="F16" s="3">
        <v>0.97031250000000002</v>
      </c>
      <c r="G16" s="15">
        <v>2.0000000000035101</v>
      </c>
    </row>
    <row r="17" spans="4:6" x14ac:dyDescent="0.3">
      <c r="D17" s="3"/>
      <c r="F17" s="3"/>
    </row>
    <row r="18" spans="4:6" x14ac:dyDescent="0.3">
      <c r="D18" s="3"/>
      <c r="F18" s="3"/>
    </row>
    <row r="19" spans="4:6" x14ac:dyDescent="0.3">
      <c r="D19" s="3"/>
      <c r="F19" s="3"/>
    </row>
    <row r="20" spans="4:6" x14ac:dyDescent="0.3">
      <c r="D20" s="3"/>
      <c r="F20" s="3"/>
    </row>
    <row r="21" spans="4:6" x14ac:dyDescent="0.3">
      <c r="D21" s="3"/>
    </row>
    <row r="22" spans="4:6" x14ac:dyDescent="0.3">
      <c r="D22" s="3"/>
    </row>
    <row r="23" spans="4:6" x14ac:dyDescent="0.3">
      <c r="D23" s="3"/>
    </row>
    <row r="24" spans="4:6" x14ac:dyDescent="0.3">
      <c r="D24" s="3"/>
    </row>
    <row r="25" spans="4:6" x14ac:dyDescent="0.3">
      <c r="D25" s="3"/>
    </row>
    <row r="26" spans="4:6" x14ac:dyDescent="0.3">
      <c r="D26" s="3"/>
    </row>
    <row r="27" spans="4:6" x14ac:dyDescent="0.3">
      <c r="D27" s="3"/>
    </row>
    <row r="28" spans="4:6" x14ac:dyDescent="0.3">
      <c r="D28" s="3"/>
    </row>
    <row r="29" spans="4:6" x14ac:dyDescent="0.3">
      <c r="D29" s="3"/>
    </row>
    <row r="30" spans="4:6" x14ac:dyDescent="0.3">
      <c r="D30" s="3"/>
    </row>
    <row r="31" spans="4:6" x14ac:dyDescent="0.3">
      <c r="D31" s="3"/>
    </row>
    <row r="32" spans="4:6" x14ac:dyDescent="0.3">
      <c r="D32" s="3"/>
    </row>
    <row r="33" spans="4:4" x14ac:dyDescent="0.3">
      <c r="D33" s="3"/>
    </row>
    <row r="34" spans="4:4" x14ac:dyDescent="0.3">
      <c r="D34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31" baseType="lpstr">
      <vt:lpstr>Customer Monitoring</vt:lpstr>
      <vt:lpstr>Log</vt:lpstr>
      <vt:lpstr>ArrivalTimeLog</vt:lpstr>
      <vt:lpstr>Current_Customers</vt:lpstr>
      <vt:lpstr>CustomerIndexLog</vt:lpstr>
      <vt:lpstr>CustomerNumberLog</vt:lpstr>
      <vt:lpstr>DepartureTimeLog</vt:lpstr>
      <vt:lpstr>InterarrivalTimeLog</vt:lpstr>
      <vt:lpstr>LeadTimeLog</vt:lpstr>
      <vt:lpstr>Max_ArrivalTime</vt:lpstr>
      <vt:lpstr>Max_CustomerNumber</vt:lpstr>
      <vt:lpstr>Max_DepartureTime</vt:lpstr>
      <vt:lpstr>Max_Interarrival</vt:lpstr>
      <vt:lpstr>Max_LeadTime</vt:lpstr>
      <vt:lpstr>Mean_ArrivalTime</vt:lpstr>
      <vt:lpstr>Mean_CustomerNumber</vt:lpstr>
      <vt:lpstr>Mean_DepartureTime</vt:lpstr>
      <vt:lpstr>Mean_Interarrival</vt:lpstr>
      <vt:lpstr>Mean_LeadTime</vt:lpstr>
      <vt:lpstr>Min_ArrivalTime</vt:lpstr>
      <vt:lpstr>Min_CustomerNumber</vt:lpstr>
      <vt:lpstr>Min_DepartureTime</vt:lpstr>
      <vt:lpstr>Min_Interarrival</vt:lpstr>
      <vt:lpstr>Min_LeadTime</vt:lpstr>
      <vt:lpstr>SD_ArrivalTIme</vt:lpstr>
      <vt:lpstr>SD_CustomerNumber</vt:lpstr>
      <vt:lpstr>SD_DepartureTime</vt:lpstr>
      <vt:lpstr>SD_Interarrival</vt:lpstr>
      <vt:lpstr>SD_LeadTime</vt:lpstr>
      <vt:lpstr>StartTime</vt:lpstr>
      <vt:lpstr>Total_Customers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Striker</dc:creator>
  <cp:lastModifiedBy>Striker</cp:lastModifiedBy>
  <dcterms:created xsi:type="dcterms:W3CDTF">2018-10-21T04:18:02Z</dcterms:created>
  <dcterms:modified xsi:type="dcterms:W3CDTF">2018-10-21T15:19:53Z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rmulaDeskUniqueName">
    <vt:lpwstr>d6055439-98fa-4c9a-803d-d0bea93db2e5</vt:lpwstr>
  </property>
</Properties>
</file>