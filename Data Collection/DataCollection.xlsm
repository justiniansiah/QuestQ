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975CC2DE-59D5-4153-9E7C-3738F721033E}" xr6:coauthVersionLast="37" xr6:coauthVersionMax="37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Service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Service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Service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ServiceTime">Log!$G$9</definedName>
    <definedName name="ServiceTimeLog">Log!$G$10:$G$1048576</definedName>
    <definedName name="StartTime">Log!$C$1</definedName>
    <definedName name="Total_Customers">Log!$B$3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B3" i="1"/>
  <c r="C1" i="1" l="1"/>
  <c r="A1" i="1"/>
  <c r="B1" i="2" l="1"/>
  <c r="B1" i="1" s="1"/>
</calcChain>
</file>

<file path=xl/sharedStrings.xml><?xml version="1.0" encoding="utf-8"?>
<sst xmlns="http://schemas.openxmlformats.org/spreadsheetml/2006/main" count="16" uniqueCount="16">
  <si>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</si>
  <si>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</si>
  <si>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</si>
  <si>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</si>
  <si>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</si>
  <si>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</si>
  <si>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</si>
  <si>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</si>
  <si>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</si>
  <si>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</si>
  <si>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</si>
  <si>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</si>
  <si>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</si>
  <si>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</si>
  <si>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</si>
  <si>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Service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</si>
</sst>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7</xdr:row>
          <xdr:rowOff>43815</xdr:rowOff>
        </xdr:from>
        <xdr:to>
          <xdr:col>4</xdr:col>
          <xdr:colOff>379095</xdr:colOff>
          <xdr:row>14</xdr:row>
          <xdr:rowOff>43815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7</xdr:row>
          <xdr:rowOff>57150</xdr:rowOff>
        </xdr:from>
        <xdr:to>
          <xdr:col>11</xdr:col>
          <xdr:colOff>85725</xdr:colOff>
          <xdr:row>14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8F275DE-2801-4FA5-8D0C-61BC99C0D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C3"/>
  <sheetViews>
    <sheetView workbookViewId="0">
      <selection activeCell="B3" sqref="B3"/>
    </sheetView>
  </sheetViews>
  <sheetFormatPr defaultRowHeight="14.4" x14ac:dyDescent="0.3"/>
  <cols>
    <col min="1" max="1" width="17.88671875" bestFit="1" customWidth="1"/>
    <col min="2" max="2" width="12.21875" customWidth="1"/>
    <col min="3" max="3" width="10.21875" bestFit="1" customWidth="1"/>
  </cols>
  <sheetData>
    <row r="1" spans="1:3" ht="32.4" customHeight="1" x14ac:dyDescent="0.3">
      <c r="A1" t="str">
        <f>Log!A1</f>
        <v>Start Time of Log</v>
      </c>
      <c r="B1" s="2" t="str">
        <f ca="1">Log!B1</f>
        <v>21/10/2018</v>
      </c>
      <c r="C1" s="4">
        <f>StartTime</f>
        <v>0.93739583333333332</v>
      </c>
    </row>
    <row r="2" spans="1:3" x14ac:dyDescent="0.3">
      <c r="A2" t="s">
        <v>9</v>
      </c>
      <c r="B2">
        <f>Current_Customers</f>
        <v>1</v>
      </c>
    </row>
    <row r="3" spans="1:3" x14ac:dyDescent="0.3">
      <c r="A3" t="s">
        <v>10</v>
      </c>
      <c r="B3">
        <f>Total_Customers</f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Log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G34"/>
  <sheetViews>
    <sheetView tabSelected="1" topLeftCell="A2" workbookViewId="0">
      <selection activeCell="B33" sqref="B33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2.6640625" style="15" bestFit="1" customWidth="1"/>
  </cols>
  <sheetData>
    <row r="1" spans="1:7" ht="28.2" customHeight="1" x14ac:dyDescent="0.3">
      <c r="A1" s="5" t="s">
        <v>8</v>
      </c>
      <c r="B1" s="6" t="str">
        <f ca="1">TEXT(NOW(), "dd/mm/yyyy")</f>
        <v>21/10/2018</v>
      </c>
      <c r="C1" s="7">
        <v>0.93739583333333332</v>
      </c>
      <c r="G1"/>
    </row>
    <row r="2" spans="1:7" x14ac:dyDescent="0.3">
      <c r="A2" s="12" t="s">
        <v>13</v>
      </c>
      <c r="B2" s="13">
        <v>1</v>
      </c>
      <c r="C2"/>
      <c r="G2"/>
    </row>
    <row r="3" spans="1:7" x14ac:dyDescent="0.3">
      <c r="A3" s="12" t="s">
        <v>12</v>
      </c>
      <c r="B3" s="13">
        <v>8</v>
      </c>
      <c r="C3"/>
      <c r="G3"/>
    </row>
    <row r="4" spans="1:7" x14ac:dyDescent="0.3">
      <c r="G4"/>
    </row>
    <row r="5" spans="1:7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15</v>
      </c>
    </row>
    <row r="6" spans="1:7" x14ac:dyDescent="0.3">
      <c r="A6" s="11" t="s">
        <v>4</v>
      </c>
      <c r="B6" s="8"/>
      <c r="C6" s="9">
        <v>7</v>
      </c>
      <c r="D6" s="8"/>
      <c r="E6" s="18"/>
      <c r="F6" s="8"/>
      <c r="G6" s="8"/>
    </row>
    <row r="7" spans="1:7" x14ac:dyDescent="0.3">
      <c r="A7" s="11" t="s">
        <v>5</v>
      </c>
      <c r="B7" s="8"/>
      <c r="C7" s="9">
        <v>1</v>
      </c>
      <c r="D7" s="8"/>
      <c r="E7" s="18"/>
      <c r="F7" s="8"/>
      <c r="G7" s="8"/>
    </row>
    <row r="8" spans="1:7" x14ac:dyDescent="0.3">
      <c r="A8" s="11" t="s">
        <v>6</v>
      </c>
      <c r="B8" s="8"/>
      <c r="C8" s="9">
        <v>3.625</v>
      </c>
      <c r="D8" s="8"/>
      <c r="E8" s="18"/>
      <c r="F8" s="8"/>
      <c r="G8" s="8"/>
    </row>
    <row r="9" spans="1:7" x14ac:dyDescent="0.3">
      <c r="A9" s="11" t="s">
        <v>7</v>
      </c>
      <c r="B9" s="8">
        <v>2</v>
      </c>
      <c r="C9" s="9">
        <v>0</v>
      </c>
      <c r="D9" s="14"/>
      <c r="E9" s="18"/>
      <c r="F9" s="14"/>
      <c r="G9" s="8"/>
    </row>
    <row r="10" spans="1:7" x14ac:dyDescent="0.3">
      <c r="B10">
        <v>1</v>
      </c>
      <c r="C10" s="1">
        <v>1</v>
      </c>
      <c r="D10" s="3">
        <v>0.93657407407407411</v>
      </c>
      <c r="E10" s="17">
        <v>0</v>
      </c>
      <c r="F10" s="3">
        <v>0.93663194444444453</v>
      </c>
      <c r="G10" s="15">
        <v>5.000000000003979</v>
      </c>
    </row>
    <row r="11" spans="1:7" x14ac:dyDescent="0.3">
      <c r="B11">
        <v>2</v>
      </c>
      <c r="C11" s="1">
        <v>2</v>
      </c>
      <c r="D11" s="3">
        <v>0.93659722222222219</v>
      </c>
      <c r="E11" s="17">
        <v>1.9999999999939178</v>
      </c>
      <c r="F11" s="3">
        <v>0.93666666666666665</v>
      </c>
      <c r="G11" s="15">
        <v>6.0000000000009379</v>
      </c>
    </row>
    <row r="12" spans="1:7" x14ac:dyDescent="0.3">
      <c r="B12">
        <v>3</v>
      </c>
      <c r="C12" s="1">
        <v>3</v>
      </c>
      <c r="D12" s="3">
        <v>0.93659722222222219</v>
      </c>
      <c r="E12" s="17">
        <v>0</v>
      </c>
      <c r="F12" s="3">
        <v>0.9366782407407408</v>
      </c>
      <c r="G12" s="15">
        <v>7.0000000000074891</v>
      </c>
    </row>
    <row r="13" spans="1:7" x14ac:dyDescent="0.3">
      <c r="B13">
        <v>4</v>
      </c>
      <c r="C13" s="1">
        <v>4</v>
      </c>
      <c r="D13" s="3">
        <v>0.93659722222222219</v>
      </c>
      <c r="E13" s="17">
        <v>0</v>
      </c>
      <c r="F13" s="3">
        <v>0.9366782407407408</v>
      </c>
      <c r="G13" s="15">
        <v>7.0000000000074891</v>
      </c>
    </row>
    <row r="14" spans="1:7" x14ac:dyDescent="0.3">
      <c r="B14">
        <v>5</v>
      </c>
      <c r="C14" s="1">
        <v>5</v>
      </c>
      <c r="D14" s="3">
        <v>0.93659722222222219</v>
      </c>
      <c r="E14" s="17">
        <v>0</v>
      </c>
      <c r="F14" s="3">
        <v>0.93668981481481473</v>
      </c>
      <c r="G14" s="15">
        <v>7.9999999999948557</v>
      </c>
    </row>
    <row r="15" spans="1:7" x14ac:dyDescent="0.3">
      <c r="B15">
        <v>6</v>
      </c>
      <c r="C15" s="1">
        <v>6</v>
      </c>
      <c r="D15" s="3">
        <v>0.93659722222222219</v>
      </c>
      <c r="E15" s="17">
        <v>0</v>
      </c>
      <c r="F15" s="3">
        <v>0.93668981481481473</v>
      </c>
      <c r="G15" s="15">
        <v>7.9999999999948557</v>
      </c>
    </row>
    <row r="16" spans="1:7" x14ac:dyDescent="0.3">
      <c r="B16">
        <v>7</v>
      </c>
      <c r="C16" s="1">
        <v>7</v>
      </c>
      <c r="D16" s="3">
        <v>0.93660879629629623</v>
      </c>
      <c r="E16" s="17">
        <v>0</v>
      </c>
      <c r="F16" s="3">
        <v>0.93668981481481473</v>
      </c>
      <c r="G16" s="15">
        <v>6.9999999999978968</v>
      </c>
    </row>
    <row r="17" spans="2:6" x14ac:dyDescent="0.3">
      <c r="B17">
        <v>1</v>
      </c>
      <c r="C17" s="1">
        <v>1</v>
      </c>
      <c r="D17" s="3">
        <v>0.93739583333333332</v>
      </c>
      <c r="F17" s="3"/>
    </row>
    <row r="18" spans="2:6" x14ac:dyDescent="0.3">
      <c r="D18" s="3"/>
    </row>
    <row r="19" spans="2:6" x14ac:dyDescent="0.3">
      <c r="D19" s="3"/>
    </row>
    <row r="20" spans="2:6" x14ac:dyDescent="0.3">
      <c r="D20" s="3"/>
    </row>
    <row r="21" spans="2:6" x14ac:dyDescent="0.3">
      <c r="D21" s="3"/>
    </row>
    <row r="22" spans="2:6" x14ac:dyDescent="0.3">
      <c r="D22" s="3"/>
    </row>
    <row r="23" spans="2:6" x14ac:dyDescent="0.3">
      <c r="D23" s="3"/>
    </row>
    <row r="24" spans="2:6" x14ac:dyDescent="0.3">
      <c r="D24" s="3"/>
    </row>
    <row r="25" spans="2:6" x14ac:dyDescent="0.3">
      <c r="D25" s="3"/>
    </row>
    <row r="26" spans="2:6" x14ac:dyDescent="0.3">
      <c r="D26" s="3"/>
    </row>
    <row r="27" spans="2:6" x14ac:dyDescent="0.3">
      <c r="D27" s="3"/>
    </row>
    <row r="28" spans="2:6" x14ac:dyDescent="0.3">
      <c r="D28" s="3"/>
    </row>
    <row r="29" spans="2:6" x14ac:dyDescent="0.3">
      <c r="D29" s="3"/>
    </row>
    <row r="30" spans="2:6" x14ac:dyDescent="0.3">
      <c r="D30" s="3"/>
    </row>
    <row r="31" spans="2:6" x14ac:dyDescent="0.3">
      <c r="D31" s="3"/>
    </row>
    <row r="32" spans="2:6" x14ac:dyDescent="0.3">
      <c r="D32" s="3"/>
    </row>
    <row r="33" spans="4:4" x14ac:dyDescent="0.3">
      <c r="D33" s="3"/>
    </row>
    <row r="34" spans="4:4" x14ac:dyDescent="0.3">
      <c r="D3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Max_ArrivalTime</vt:lpstr>
      <vt:lpstr>Max_CustomerNumber</vt:lpstr>
      <vt:lpstr>Max_DepartureTime</vt:lpstr>
      <vt:lpstr>Max_Interarrival</vt:lpstr>
      <vt:lpstr>Max_ServiceTime</vt:lpstr>
      <vt:lpstr>Mean_ArrivalTime</vt:lpstr>
      <vt:lpstr>Mean_CustomerNumber</vt:lpstr>
      <vt:lpstr>Mean_DepartureTime</vt:lpstr>
      <vt:lpstr>Mean_Interarrival</vt:lpstr>
      <vt:lpstr>Mean_ServiceTime</vt:lpstr>
      <vt:lpstr>Min_ArrivalTime</vt:lpstr>
      <vt:lpstr>Min_CustomerNumber</vt:lpstr>
      <vt:lpstr>Min_DepartureTime</vt:lpstr>
      <vt:lpstr>Min_Interarrival</vt:lpstr>
      <vt:lpstr>Min_ServiceTime</vt:lpstr>
      <vt:lpstr>SD_ArrivalTIme</vt:lpstr>
      <vt:lpstr>SD_CustomerNumber</vt:lpstr>
      <vt:lpstr>SD_DepartureTime</vt:lpstr>
      <vt:lpstr>SD_Interarrival</vt:lpstr>
      <vt:lpstr>SD_ServiceTime</vt:lpstr>
      <vt:lpstr>ServiceTimeLog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2018-10-21T14:29:58Z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