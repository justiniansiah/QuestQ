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Data Collection\"/>
    </mc:Choice>
  </mc:AlternateContent>
  <xr:revisionPtr revIDLastSave="0" documentId="13_ncr:1_{337293C9-AC7A-47F1-B32E-FC6858BF5C19}" xr6:coauthVersionLast="37" xr6:coauthVersionMax="37" xr10:uidLastSave="{00000000-0000-0000-0000-000000000000}"/>
  <bookViews>
    <workbookView xWindow="0" yWindow="0" windowWidth="23040" windowHeight="7848" activeTab="1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Log!$D$9:$D$1048576</definedName>
    <definedName name="Customer_Count">Log!$B$2</definedName>
    <definedName name="CustomerIndexLog">Log!$B$9:$B$1048576</definedName>
    <definedName name="CustomerNumberLog">Log!$C$9:$C$1048576</definedName>
    <definedName name="DepartureTimeLog">Log!$F$9:$F$1048576</definedName>
    <definedName name="InterarrivalTimeLog">Log!$E$9:$E$1048576</definedName>
    <definedName name="Max_ArrivalTime">Log!$D$5</definedName>
    <definedName name="Max_CustomerNumber">Log!$C$5</definedName>
    <definedName name="Max_DepartureTime">Log!$F$5</definedName>
    <definedName name="Max_Interarrival">Log!$E$5</definedName>
    <definedName name="Max_ServiceTime">Log!$G$5</definedName>
    <definedName name="Mean_ArrivalTime">Log!$D$7</definedName>
    <definedName name="Mean_CustomerNumber">Log!$C$7</definedName>
    <definedName name="Mean_DepartureTime">Log!$F$7</definedName>
    <definedName name="Mean_Interarrival">Log!$E$7</definedName>
    <definedName name="Mean_ServiceTime">Log!$G$7</definedName>
    <definedName name="Min_ArrivalTime">Log!$D$6</definedName>
    <definedName name="Min_CustomerNumber">Log!$C$6</definedName>
    <definedName name="Min_DepartureTime">Log!$F$6</definedName>
    <definedName name="Min_Interarrival">Log!$E$6</definedName>
    <definedName name="Min_ServiceTime">Log!$G$6</definedName>
    <definedName name="SD_ArrivalTIme">Log!$D$8</definedName>
    <definedName name="SD_CustomerNumber">Log!$C$8</definedName>
    <definedName name="SD_DepartureTime">Log!$F$8</definedName>
    <definedName name="SD_Interarrival">Log!$E$8</definedName>
    <definedName name="SD_ServiceTime">Log!$G$8</definedName>
    <definedName name="ServiceTimeLog">Log!$G$9:$G$1048576</definedName>
    <definedName name="StartTime">Log!$C$1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4" i="2" l="1"/>
  <c r="C1" i="1"/>
  <c r="A1" i="1"/>
  <c r="B2" i="1" l="1"/>
  <c r="B3" i="1"/>
  <c r="B1" i="2"/>
  <c r="B1" i="1" s="1"/>
</calcChain>
</file>

<file path=xl/sharedStrings.xml><?xml version="1.0" encoding="utf-8"?>
<sst xmlns="http://schemas.openxmlformats.org/spreadsheetml/2006/main" count="15" uniqueCount="15">
  <si>
    <t>Customer Number</t>
  </si>
  <si>
    <t>Arrival Time</t>
  </si>
  <si>
    <t xml:space="preserve">Departure Time </t>
  </si>
  <si>
    <t>Service Time</t>
  </si>
  <si>
    <t>Current Data</t>
  </si>
  <si>
    <t>Max</t>
  </si>
  <si>
    <t>Min</t>
  </si>
  <si>
    <t>Mean</t>
  </si>
  <si>
    <t>Std. Dev.</t>
  </si>
  <si>
    <t>Start Time of Log</t>
  </si>
  <si>
    <t>Customer Count</t>
  </si>
  <si>
    <t>Current Customers:</t>
  </si>
  <si>
    <t>Total Customer:</t>
  </si>
  <si>
    <t>Customer Index</t>
  </si>
  <si>
    <t>Interarrival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</si>
</sst>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9</xdr:row>
          <xdr:rowOff>22860</xdr:rowOff>
        </xdr:from>
        <xdr:to>
          <xdr:col>6</xdr:col>
          <xdr:colOff>350520</xdr:colOff>
          <xdr:row>16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F10"/>
  <sheetViews>
    <sheetView workbookViewId="0">
      <selection activeCell="D17" sqref="D17"/>
    </sheetView>
  </sheetViews>
  <sheetFormatPr defaultRowHeight="14.4" x14ac:dyDescent="0.3"/>
  <cols>
    <col min="1" max="1" width="17.88671875" bestFit="1" customWidth="1"/>
    <col min="2" max="2" width="12.21875" customWidth="1"/>
    <col min="3" max="3" width="10.21875" bestFit="1" customWidth="1"/>
  </cols>
  <sheetData>
    <row r="1" spans="1:6" ht="32.4" customHeight="1" x14ac:dyDescent="0.3">
      <c r="A1" t="str">
        <f>Log!A1</f>
        <v>Start Time of Log</v>
      </c>
      <c r="B1" s="2" t="str">
        <f ca="1">Log!B1</f>
        <v>21/10/2018</v>
      </c>
      <c r="C1" s="5">
        <f>StartTime</f>
        <v>0.72277777777777785</v>
      </c>
    </row>
    <row r="2" spans="1:6" x14ac:dyDescent="0.3">
      <c r="A2" t="s">
        <v>11</v>
      </c>
      <c r="B2">
        <f>COUNT(ArrivalTimeLog)-COUNT(DepartureTimeLog)</f>
        <v>5</v>
      </c>
    </row>
    <row r="3" spans="1:6" x14ac:dyDescent="0.3">
      <c r="A3" t="s">
        <v>12</v>
      </c>
      <c r="B3">
        <f>Log!B2</f>
        <v>5</v>
      </c>
    </row>
    <row r="10" spans="1:6" x14ac:dyDescent="0.3">
      <c r="B10">
        <v>1</v>
      </c>
      <c r="F10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1</xdr:col>
                    <xdr:colOff>464820</xdr:colOff>
                    <xdr:row>9</xdr:row>
                    <xdr:rowOff>22860</xdr:rowOff>
                  </from>
                  <to>
                    <xdr:col>6</xdr:col>
                    <xdr:colOff>350520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Log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G33"/>
  <sheetViews>
    <sheetView tabSelected="1" workbookViewId="0">
      <selection activeCell="E15" sqref="E15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5.44140625" style="4" bestFit="1" customWidth="1"/>
    <col min="6" max="6" width="17.88671875" customWidth="1"/>
    <col min="7" max="7" width="12.6640625" bestFit="1" customWidth="1"/>
  </cols>
  <sheetData>
    <row r="1" spans="1:7" ht="28.2" customHeight="1" x14ac:dyDescent="0.3">
      <c r="A1" s="6" t="s">
        <v>9</v>
      </c>
      <c r="B1" s="7" t="str">
        <f ca="1">TEXT(NOW(), "dd/mm/yyyy")</f>
        <v>21/10/2018</v>
      </c>
      <c r="C1" s="8">
        <v>0.72277777777777785</v>
      </c>
    </row>
    <row r="2" spans="1:7" x14ac:dyDescent="0.3">
      <c r="A2" s="15" t="s">
        <v>10</v>
      </c>
      <c r="B2" s="16">
        <v>5</v>
      </c>
      <c r="C2"/>
    </row>
    <row r="4" spans="1:7" x14ac:dyDescent="0.3">
      <c r="A4" s="12" t="s">
        <v>4</v>
      </c>
      <c r="B4" s="12" t="s">
        <v>13</v>
      </c>
      <c r="C4" s="12" t="s">
        <v>0</v>
      </c>
      <c r="D4" s="12" t="s">
        <v>1</v>
      </c>
      <c r="E4" s="13" t="s">
        <v>14</v>
      </c>
      <c r="F4" s="12" t="s">
        <v>2</v>
      </c>
      <c r="G4" s="12" t="s">
        <v>3</v>
      </c>
    </row>
    <row r="5" spans="1:7" x14ac:dyDescent="0.3">
      <c r="A5" s="14" t="s">
        <v>5</v>
      </c>
      <c r="B5" s="9"/>
      <c r="C5" s="10">
        <v>5</v>
      </c>
      <c r="D5" s="9"/>
      <c r="E5" s="11"/>
      <c r="F5" s="9"/>
      <c r="G5" s="9"/>
    </row>
    <row r="6" spans="1:7" x14ac:dyDescent="0.3">
      <c r="A6" s="14" t="s">
        <v>6</v>
      </c>
      <c r="B6" s="9"/>
      <c r="C6" s="10">
        <v>1</v>
      </c>
      <c r="D6" s="9"/>
      <c r="E6" s="11"/>
      <c r="F6" s="9"/>
      <c r="G6" s="9"/>
    </row>
    <row r="7" spans="1:7" x14ac:dyDescent="0.3">
      <c r="A7" s="14" t="s">
        <v>7</v>
      </c>
      <c r="B7" s="9"/>
      <c r="C7" s="10">
        <v>3</v>
      </c>
      <c r="D7" s="9"/>
      <c r="E7" s="11"/>
      <c r="F7" s="9"/>
      <c r="G7" s="9"/>
    </row>
    <row r="8" spans="1:7" x14ac:dyDescent="0.3">
      <c r="A8" s="14" t="s">
        <v>8</v>
      </c>
      <c r="B8" s="9"/>
      <c r="C8" s="10">
        <v>1.5811388300841898</v>
      </c>
      <c r="D8" s="9"/>
      <c r="E8" s="11"/>
      <c r="F8" s="9"/>
      <c r="G8" s="9"/>
    </row>
    <row r="9" spans="1:7" x14ac:dyDescent="0.3">
      <c r="B9">
        <v>1</v>
      </c>
      <c r="C9" s="1">
        <v>1</v>
      </c>
      <c r="D9" s="3">
        <v>0.72277777777777785</v>
      </c>
      <c r="E9" s="4">
        <v>0</v>
      </c>
      <c r="G9" s="3"/>
    </row>
    <row r="10" spans="1:7" x14ac:dyDescent="0.3">
      <c r="B10">
        <v>2</v>
      </c>
      <c r="C10" s="1">
        <v>2</v>
      </c>
      <c r="D10" s="3">
        <v>0.72282407407407412</v>
      </c>
      <c r="E10" s="4">
        <v>62451.277222222219</v>
      </c>
    </row>
    <row r="11" spans="1:7" x14ac:dyDescent="0.3">
      <c r="B11">
        <v>3</v>
      </c>
      <c r="C11" s="1">
        <v>3</v>
      </c>
      <c r="D11" s="3">
        <v>0.72289351851851846</v>
      </c>
      <c r="E11" s="4">
        <v>62457.999999999993</v>
      </c>
    </row>
    <row r="12" spans="1:7" x14ac:dyDescent="0.3">
      <c r="B12">
        <v>4</v>
      </c>
      <c r="C12" s="1">
        <v>4</v>
      </c>
      <c r="D12" s="3">
        <v>0.72740740740740739</v>
      </c>
      <c r="E12" s="4">
        <v>62848</v>
      </c>
    </row>
    <row r="13" spans="1:7" x14ac:dyDescent="0.3">
      <c r="B13">
        <v>5</v>
      </c>
      <c r="C13" s="1">
        <v>5</v>
      </c>
      <c r="D13" s="3">
        <v>0.72745370370370377</v>
      </c>
      <c r="E13" s="4">
        <v>62852.000000000007</v>
      </c>
    </row>
    <row r="14" spans="1:7" x14ac:dyDescent="0.3">
      <c r="D14" s="3"/>
      <c r="E14" s="4">
        <f>ABS(D13-D12)*1000000</f>
        <v>46.296296296377548</v>
      </c>
    </row>
    <row r="15" spans="1:7" x14ac:dyDescent="0.3">
      <c r="D15" s="3"/>
      <c r="E15" s="4">
        <v>0</v>
      </c>
    </row>
    <row r="16" spans="1:7" x14ac:dyDescent="0.3">
      <c r="D16" s="3"/>
    </row>
    <row r="17" spans="4:4" x14ac:dyDescent="0.3">
      <c r="D17" s="3"/>
    </row>
    <row r="18" spans="4:4" x14ac:dyDescent="0.3">
      <c r="D18" s="3"/>
    </row>
    <row r="19" spans="4:4" x14ac:dyDescent="0.3">
      <c r="D19" s="3"/>
    </row>
    <row r="20" spans="4:4" x14ac:dyDescent="0.3">
      <c r="D20" s="3"/>
    </row>
    <row r="21" spans="4:4" x14ac:dyDescent="0.3">
      <c r="D21" s="3"/>
    </row>
    <row r="22" spans="4:4" x14ac:dyDescent="0.3">
      <c r="D22" s="3"/>
    </row>
    <row r="23" spans="4:4" x14ac:dyDescent="0.3">
      <c r="D23" s="3"/>
    </row>
    <row r="24" spans="4:4" x14ac:dyDescent="0.3">
      <c r="D24" s="3"/>
    </row>
    <row r="25" spans="4:4" x14ac:dyDescent="0.3">
      <c r="D25" s="3"/>
    </row>
    <row r="26" spans="4:4" x14ac:dyDescent="0.3">
      <c r="D26" s="3"/>
    </row>
    <row r="27" spans="4:4" x14ac:dyDescent="0.3">
      <c r="D27" s="3"/>
    </row>
    <row r="28" spans="4:4" x14ac:dyDescent="0.3">
      <c r="D28" s="3"/>
    </row>
    <row r="29" spans="4:4" x14ac:dyDescent="0.3">
      <c r="D29" s="3"/>
    </row>
    <row r="30" spans="4:4" x14ac:dyDescent="0.3">
      <c r="D30" s="3"/>
    </row>
    <row r="31" spans="4:4" x14ac:dyDescent="0.3">
      <c r="D31" s="3"/>
    </row>
    <row r="32" spans="4:4" x14ac:dyDescent="0.3">
      <c r="D32" s="3"/>
    </row>
    <row r="33" spans="4:4" x14ac:dyDescent="0.3">
      <c r="D3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Customer Monitoring</vt:lpstr>
      <vt:lpstr>Log</vt:lpstr>
      <vt:lpstr>ArrivalTimeLog</vt:lpstr>
      <vt:lpstr>Customer_Count</vt:lpstr>
      <vt:lpstr>CustomerIndexLog</vt:lpstr>
      <vt:lpstr>CustomerNumberLog</vt:lpstr>
      <vt:lpstr>DepartureTimeLog</vt:lpstr>
      <vt:lpstr>InterarrivalTimeLog</vt:lpstr>
      <vt:lpstr>Max_ArrivalTime</vt:lpstr>
      <vt:lpstr>Max_CustomerNumber</vt:lpstr>
      <vt:lpstr>Max_DepartureTime</vt:lpstr>
      <vt:lpstr>Max_Interarrival</vt:lpstr>
      <vt:lpstr>Max_ServiceTime</vt:lpstr>
      <vt:lpstr>Mean_ArrivalTime</vt:lpstr>
      <vt:lpstr>Mean_CustomerNumber</vt:lpstr>
      <vt:lpstr>Mean_DepartureTime</vt:lpstr>
      <vt:lpstr>Mean_Interarrival</vt:lpstr>
      <vt:lpstr>Mean_ServiceTime</vt:lpstr>
      <vt:lpstr>Min_ArrivalTime</vt:lpstr>
      <vt:lpstr>Min_CustomerNumber</vt:lpstr>
      <vt:lpstr>Min_DepartureTime</vt:lpstr>
      <vt:lpstr>Min_Interarrival</vt:lpstr>
      <vt:lpstr>Min_ServiceTime</vt:lpstr>
      <vt:lpstr>SD_ArrivalTIme</vt:lpstr>
      <vt:lpstr>SD_CustomerNumber</vt:lpstr>
      <vt:lpstr>SD_DepartureTime</vt:lpstr>
      <vt:lpstr>SD_Interarrival</vt:lpstr>
      <vt:lpstr>SD_ServiceTime</vt:lpstr>
      <vt:lpstr>ServiceTimeLog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2018-10-21T13:47:01Z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