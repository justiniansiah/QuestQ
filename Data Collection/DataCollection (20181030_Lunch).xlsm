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School Stuff\40 .015 Simulation Modelling and Analysis\Project\Data Collection\"/>
    </mc:Choice>
  </mc:AlternateContent>
  <xr:revisionPtr revIDLastSave="0" documentId="13_ncr:1_{795ED177-1849-441B-9ABB-4E7E24CFE5E6}" xr6:coauthVersionLast="37" xr6:coauthVersionMax="37" xr10:uidLastSave="{00000000-0000-0000-0000-000000000000}"/>
  <bookViews>
    <workbookView xWindow="0" yWindow="0" windowWidth="23040" windowHeight="7848" xr2:uid="{BD998620-A098-4F53-BD57-225A0D379B7A}"/>
  </bookViews>
  <sheets>
    <sheet name="Customer Monitoring" sheetId="1" r:id="rId1"/>
    <sheet name="Log" sheetId="2" r:id="rId2"/>
  </sheets>
  <functionGroups builtInGroupCount="19"/>
  <definedNames>
    <definedName name="ArrivalTimeLog">Log!$D$10:$D$1048576</definedName>
    <definedName name="Current_Customers">Log!$B$2</definedName>
    <definedName name="CustomerIndexLog">Log!$B$10:$B$1048576</definedName>
    <definedName name="CustomerNumberLog">Log!$C$10:$C$1048576</definedName>
    <definedName name="DepartureTimeLog">Log!$F$10:$F$1048576</definedName>
    <definedName name="InterarrivalTimeLog">Log!$E$10:$E$1048576</definedName>
    <definedName name="LeadTimeLog">Log!$G$10:$G$1048576</definedName>
    <definedName name="Max_ArrivalTime">Log!$D$6</definedName>
    <definedName name="Max_CustomerNumber">Log!$C$6</definedName>
    <definedName name="Max_DepartureTime">Log!$F$6</definedName>
    <definedName name="Max_Interarrival">Log!$E$6</definedName>
    <definedName name="Max_LeadTime">Log!$G$6</definedName>
    <definedName name="Mean_ArrivalTime">Log!$D$8</definedName>
    <definedName name="Mean_CustomerNumber">Log!$C$8</definedName>
    <definedName name="Mean_DepartureTime">Log!$F$8</definedName>
    <definedName name="Mean_Interarrival">Log!$E$8</definedName>
    <definedName name="Mean_LeadTime">Log!$G$8</definedName>
    <definedName name="Min_ArrivalTime">Log!$D$7</definedName>
    <definedName name="Min_CustomerNumber">Log!$C$7</definedName>
    <definedName name="Min_DepartureTime">Log!$F$7</definedName>
    <definedName name="Min_Interarrival">Log!$E$7</definedName>
    <definedName name="Min_LeadTime">Log!$G$7</definedName>
    <definedName name="SD_ArrivalTIme">Log!$D$9</definedName>
    <definedName name="SD_CustomerNumber">Log!$C$9</definedName>
    <definedName name="SD_DepartureTime">Log!$F$9</definedName>
    <definedName name="SD_Interarrival">Log!$E$9</definedName>
    <definedName name="SD_LeadTime">Log!$G$9</definedName>
    <definedName name="StartTime">Log!$C$1</definedName>
    <definedName name="Total_Customers">Log!$B$3</definedName>
  </definedName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I1" i="1" l="1"/>
  <c r="B2" i="1" l="1"/>
  <c r="B3" i="1"/>
  <c r="C1" i="1" l="1"/>
  <c r="A1" i="1"/>
  <c r="B1" i="2" l="1"/>
  <c r="B1" i="1" s="1"/>
</calcChain>
</file>

<file path=xl/sharedStrings.xml><?xml version="1.0" encoding="utf-8"?>
<sst xmlns="http://schemas.openxmlformats.org/spreadsheetml/2006/main" count="19" uniqueCount="19">
  <si>
    <t>Customer Number</t>
  </si>
  <si>
    <t>Arrival Time</t>
  </si>
  <si>
    <t xml:space="preserve">Departure Time </t>
  </si>
  <si>
    <t>Current Data</t>
  </si>
  <si>
    <t>Max</t>
  </si>
  <si>
    <t>Min</t>
  </si>
  <si>
    <t>Mean</t>
  </si>
  <si>
    <t>Std. Dev.</t>
  </si>
  <si>
    <t>Start Time of Log</t>
  </si>
  <si>
    <t>Current Customers:</t>
  </si>
  <si>
    <t>Total Customer:</t>
  </si>
  <si>
    <t>Customer Index</t>
  </si>
  <si>
    <t>Total Customers</t>
  </si>
  <si>
    <t>Current Customers</t>
  </si>
  <si>
    <t>Interarrival Time (s)</t>
  </si>
  <si>
    <t>Waiting Time (s)</t>
  </si>
  <si>
    <t>Lead Time (s)</t>
  </si>
  <si>
    <t>End Time</t>
  </si>
  <si>
    <t>Time spent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</si>
</sst>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7" tint="0.79998168889431442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horizontal="center"/>
    </xf>
    <xf numFmtId="22" fontId="0" fillId="0" borderId="0" xfId="0" applyNumberFormat="1"/>
    <xf numFmtId="19" fontId="0" fillId="0" borderId="0" xfId="0" applyNumberFormat="1"/>
    <xf numFmtId="164" fontId="0" fillId="0" borderId="0" xfId="0" applyNumberFormat="1"/>
    <xf numFmtId="0" fontId="0" fillId="2" borderId="0" xfId="0" applyFill="1"/>
    <xf numFmtId="22" fontId="0" fillId="2" borderId="0" xfId="0" applyNumberFormat="1" applyFill="1" applyAlignment="1">
      <alignment horizontal="center"/>
    </xf>
    <xf numFmtId="19" fontId="0" fillId="2" borderId="0" xfId="0" applyNumberFormat="1" applyFill="1"/>
    <xf numFmtId="0" fontId="0" fillId="3" borderId="0" xfId="0" applyFill="1"/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0" fillId="5" borderId="0" xfId="0" applyFill="1"/>
    <xf numFmtId="0" fontId="0" fillId="6" borderId="0" xfId="0" applyFill="1"/>
    <xf numFmtId="0" fontId="0" fillId="6" borderId="0" xfId="0" applyFill="1" applyAlignment="1">
      <alignment horizontal="center"/>
    </xf>
    <xf numFmtId="19" fontId="0" fillId="3" borderId="0" xfId="0" applyNumberFormat="1" applyFill="1"/>
    <xf numFmtId="1" fontId="0" fillId="0" borderId="0" xfId="0" applyNumberFormat="1"/>
    <xf numFmtId="1" fontId="0" fillId="4" borderId="0" xfId="0" applyNumberFormat="1" applyFill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0" fillId="3" borderId="0" xfId="0" applyNumberFormat="1" applyFill="1" applyAlignment="1">
      <alignment horizontal="right"/>
    </xf>
    <xf numFmtId="0" fontId="0" fillId="4" borderId="0" xfId="0" applyFill="1" applyAlignment="1">
      <alignment horizontal="center" vertical="center" wrapText="1"/>
    </xf>
    <xf numFmtId="0" fontId="2" fillId="3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502920</xdr:colOff>
          <xdr:row>7</xdr:row>
          <xdr:rowOff>45720</xdr:rowOff>
        </xdr:from>
        <xdr:to>
          <xdr:col>4</xdr:col>
          <xdr:colOff>381000</xdr:colOff>
          <xdr:row>14</xdr:row>
          <xdr:rowOff>45720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New Customer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556260</xdr:colOff>
          <xdr:row>21</xdr:row>
          <xdr:rowOff>152400</xdr:rowOff>
        </xdr:from>
        <xdr:to>
          <xdr:col>11</xdr:col>
          <xdr:colOff>198120</xdr:colOff>
          <xdr:row>24</xdr:row>
          <xdr:rowOff>121920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487680</xdr:colOff>
          <xdr:row>7</xdr:row>
          <xdr:rowOff>60960</xdr:rowOff>
        </xdr:from>
        <xdr:to>
          <xdr:col>11</xdr:col>
          <xdr:colOff>83820</xdr:colOff>
          <xdr:row>14</xdr:row>
          <xdr:rowOff>60960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Customer Leaves Queue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2F877-F5B1-43AC-999D-4287348DC99F}">
  <sheetPr codeName="Sheet1"/>
  <dimension ref="A1:I3"/>
  <sheetViews>
    <sheetView tabSelected="1" workbookViewId="0">
      <selection activeCell="H1" sqref="H1"/>
    </sheetView>
  </sheetViews>
  <sheetFormatPr defaultRowHeight="14.4" x14ac:dyDescent="0.3"/>
  <cols>
    <col min="1" max="1" width="17.88671875" bestFit="1" customWidth="1"/>
    <col min="2" max="2" width="12.21875" customWidth="1"/>
    <col min="3" max="3" width="11.21875" bestFit="1" customWidth="1"/>
    <col min="6" max="6" width="15.6640625" bestFit="1" customWidth="1"/>
    <col min="8" max="8" width="10.21875" bestFit="1" customWidth="1"/>
    <col min="9" max="9" width="14.6640625" bestFit="1" customWidth="1"/>
  </cols>
  <sheetData>
    <row r="1" spans="1:9" ht="32.4" customHeight="1" x14ac:dyDescent="0.3">
      <c r="A1" t="str">
        <f>Log!A1</f>
        <v>Start Time of Log</v>
      </c>
      <c r="B1" s="2" t="str">
        <f ca="1">Log!B1</f>
        <v>30/10/2018</v>
      </c>
      <c r="C1" s="4">
        <f>StartTime</f>
        <v>0.50270833333333331</v>
      </c>
      <c r="E1" t="s">
        <v>17</v>
      </c>
      <c r="F1" s="2">
        <v>43403.534189467595</v>
      </c>
      <c r="H1" t="s">
        <v>18</v>
      </c>
      <c r="I1" s="2" t="str">
        <f>TEXT(F1-C1,"hh:mm")</f>
        <v>00:45</v>
      </c>
    </row>
    <row r="2" spans="1:9" x14ac:dyDescent="0.3">
      <c r="A2" t="s">
        <v>9</v>
      </c>
      <c r="B2">
        <f>Current_Customers</f>
        <v>3</v>
      </c>
    </row>
    <row r="3" spans="1:9" x14ac:dyDescent="0.3">
      <c r="A3" t="s">
        <v>10</v>
      </c>
      <c r="B3">
        <f>Total_Customers</f>
        <v>75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heet1.Add_New_Customer_ButtonClick">
                <anchor moveWithCells="1" sizeWithCells="1">
                  <from>
                    <xdr:col>0</xdr:col>
                    <xdr:colOff>502920</xdr:colOff>
                    <xdr:row>7</xdr:row>
                    <xdr:rowOff>45720</xdr:rowOff>
                  </from>
                  <to>
                    <xdr:col>4</xdr:col>
                    <xdr:colOff>381000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1.Reset_ButtonClick">
                <anchor moveWithCells="1" sizeWithCells="1">
                  <from>
                    <xdr:col>9</xdr:col>
                    <xdr:colOff>556260</xdr:colOff>
                    <xdr:row>21</xdr:row>
                    <xdr:rowOff>152400</xdr:rowOff>
                  </from>
                  <to>
                    <xdr:col>11</xdr:col>
                    <xdr:colOff>198120</xdr:colOff>
                    <xdr:row>24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heet1.Customer_Leave_ButtonClick">
                <anchor moveWithCells="1" sizeWithCells="1">
                  <from>
                    <xdr:col>5</xdr:col>
                    <xdr:colOff>487680</xdr:colOff>
                    <xdr:row>7</xdr:row>
                    <xdr:rowOff>60960</xdr:rowOff>
                  </from>
                  <to>
                    <xdr:col>11</xdr:col>
                    <xdr:colOff>83820</xdr:colOff>
                    <xdr:row>14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6C94-296C-4A3A-9E28-F7A81D57BAC6}">
  <sheetPr codeName="Sheet2"/>
  <dimension ref="A1:H84"/>
  <sheetViews>
    <sheetView workbookViewId="0">
      <selection activeCell="C1" sqref="C1"/>
    </sheetView>
  </sheetViews>
  <sheetFormatPr defaultRowHeight="14.4" x14ac:dyDescent="0.3"/>
  <cols>
    <col min="1" max="2" width="17.109375" customWidth="1"/>
    <col min="3" max="3" width="17.109375" style="1" bestFit="1" customWidth="1"/>
    <col min="4" max="4" width="15.6640625" bestFit="1" customWidth="1"/>
    <col min="5" max="5" width="12.88671875" style="17" customWidth="1"/>
    <col min="6" max="6" width="17.88671875" customWidth="1"/>
    <col min="7" max="7" width="11.5546875" style="15" customWidth="1"/>
    <col min="8" max="8" width="11.21875" customWidth="1"/>
  </cols>
  <sheetData>
    <row r="1" spans="1:8" ht="28.2" customHeight="1" x14ac:dyDescent="0.3">
      <c r="A1" s="5" t="s">
        <v>8</v>
      </c>
      <c r="B1" s="6" t="str">
        <f ca="1">TEXT(NOW(), "dd/mm/yyyy")</f>
        <v>30/10/2018</v>
      </c>
      <c r="C1" s="7">
        <v>0.50270833333333331</v>
      </c>
      <c r="G1"/>
    </row>
    <row r="2" spans="1:8" x14ac:dyDescent="0.3">
      <c r="A2" s="12" t="s">
        <v>13</v>
      </c>
      <c r="B2" s="13">
        <v>3</v>
      </c>
      <c r="C2"/>
      <c r="G2"/>
    </row>
    <row r="3" spans="1:8" x14ac:dyDescent="0.3">
      <c r="A3" s="12" t="s">
        <v>12</v>
      </c>
      <c r="B3" s="13">
        <v>75</v>
      </c>
      <c r="C3"/>
      <c r="G3"/>
    </row>
    <row r="4" spans="1:8" x14ac:dyDescent="0.3">
      <c r="G4"/>
    </row>
    <row r="5" spans="1:8" ht="28.8" customHeight="1" x14ac:dyDescent="0.3">
      <c r="A5" s="10" t="s">
        <v>3</v>
      </c>
      <c r="B5" s="10" t="s">
        <v>11</v>
      </c>
      <c r="C5" s="10" t="s">
        <v>0</v>
      </c>
      <c r="D5" s="10" t="s">
        <v>1</v>
      </c>
      <c r="E5" s="16" t="s">
        <v>14</v>
      </c>
      <c r="F5" s="10" t="s">
        <v>2</v>
      </c>
      <c r="G5" s="19" t="s">
        <v>16</v>
      </c>
      <c r="H5" s="19" t="s">
        <v>15</v>
      </c>
    </row>
    <row r="6" spans="1:8" x14ac:dyDescent="0.3">
      <c r="A6" s="11" t="s">
        <v>4</v>
      </c>
      <c r="B6" s="8"/>
      <c r="C6" s="9">
        <v>13</v>
      </c>
      <c r="D6" s="8"/>
      <c r="E6" s="18">
        <v>141.99999999999983</v>
      </c>
      <c r="F6" s="8"/>
      <c r="G6" s="8">
        <v>368.00000000000318</v>
      </c>
      <c r="H6" s="8"/>
    </row>
    <row r="7" spans="1:8" x14ac:dyDescent="0.3">
      <c r="A7" s="11" t="s">
        <v>5</v>
      </c>
      <c r="B7" s="8"/>
      <c r="C7" s="9">
        <v>1</v>
      </c>
      <c r="D7" s="8"/>
      <c r="E7" s="18">
        <v>0</v>
      </c>
      <c r="F7" s="8"/>
      <c r="G7" s="8">
        <v>115.99999999999255</v>
      </c>
      <c r="H7" s="8"/>
    </row>
    <row r="8" spans="1:8" x14ac:dyDescent="0.3">
      <c r="A8" s="11" t="s">
        <v>6</v>
      </c>
      <c r="B8" s="8"/>
      <c r="C8" s="9">
        <v>7.1466666666666665</v>
      </c>
      <c r="D8" s="8"/>
      <c r="E8" s="18">
        <v>35.506666666666767</v>
      </c>
      <c r="F8" s="8"/>
      <c r="G8" s="8">
        <v>233.27777777777641</v>
      </c>
      <c r="H8" s="8"/>
    </row>
    <row r="9" spans="1:8" x14ac:dyDescent="0.3">
      <c r="A9" s="11" t="s">
        <v>7</v>
      </c>
      <c r="B9" s="20">
        <v>1</v>
      </c>
      <c r="C9" s="9">
        <v>3.371956418770873</v>
      </c>
      <c r="D9" s="14"/>
      <c r="E9" s="18">
        <v>31.300795833649573</v>
      </c>
      <c r="F9" s="14"/>
      <c r="G9" s="8">
        <v>79.032391687441631</v>
      </c>
      <c r="H9" s="8"/>
    </row>
    <row r="10" spans="1:8" x14ac:dyDescent="0.3">
      <c r="B10">
        <v>1</v>
      </c>
      <c r="C10" s="1">
        <v>1</v>
      </c>
      <c r="D10" s="3">
        <v>0.50270833333333331</v>
      </c>
      <c r="E10" s="17">
        <v>0</v>
      </c>
      <c r="F10" s="3">
        <v>0.50421296296296292</v>
      </c>
      <c r="G10" s="15">
        <v>129.99999999999795</v>
      </c>
    </row>
    <row r="11" spans="1:8" x14ac:dyDescent="0.3">
      <c r="B11">
        <v>2</v>
      </c>
      <c r="C11" s="1">
        <v>2</v>
      </c>
      <c r="D11" s="3">
        <v>0.50305555555555559</v>
      </c>
      <c r="E11" s="17">
        <v>30.00000000000469</v>
      </c>
      <c r="F11" s="3">
        <v>0.50469907407407411</v>
      </c>
      <c r="G11" s="15">
        <v>141.99999999999983</v>
      </c>
    </row>
    <row r="12" spans="1:8" x14ac:dyDescent="0.3">
      <c r="B12">
        <v>3</v>
      </c>
      <c r="C12" s="1">
        <v>3</v>
      </c>
      <c r="D12" s="3">
        <v>0.50306712962962963</v>
      </c>
      <c r="E12" s="17">
        <v>0.99999999999695888</v>
      </c>
      <c r="F12" s="3">
        <v>0.50605324074074076</v>
      </c>
      <c r="G12" s="15">
        <v>258.00000000000193</v>
      </c>
    </row>
    <row r="13" spans="1:8" x14ac:dyDescent="0.3">
      <c r="B13">
        <v>4</v>
      </c>
      <c r="C13" s="1">
        <v>4</v>
      </c>
      <c r="D13" s="3">
        <v>0.50307870370370367</v>
      </c>
      <c r="E13" s="17">
        <v>0.99999999999695888</v>
      </c>
      <c r="F13" s="3">
        <v>0.50646990740740738</v>
      </c>
      <c r="G13" s="15">
        <v>293.00000000000102</v>
      </c>
    </row>
    <row r="14" spans="1:8" x14ac:dyDescent="0.3">
      <c r="B14">
        <v>5</v>
      </c>
      <c r="C14" s="1">
        <v>5</v>
      </c>
      <c r="D14" s="3">
        <v>0.50309027777777782</v>
      </c>
      <c r="E14" s="17">
        <v>1.0000000000065512</v>
      </c>
      <c r="F14" s="3">
        <v>0.50680555555555562</v>
      </c>
      <c r="G14" s="15">
        <v>321.00000000000222</v>
      </c>
    </row>
    <row r="15" spans="1:8" x14ac:dyDescent="0.3">
      <c r="B15">
        <v>6</v>
      </c>
      <c r="C15" s="1">
        <v>4</v>
      </c>
      <c r="D15" s="3">
        <v>0.50473379629629633</v>
      </c>
      <c r="E15" s="17">
        <v>141.99999999999983</v>
      </c>
      <c r="F15" s="3">
        <v>0.50763888888888886</v>
      </c>
      <c r="G15" s="15">
        <v>250.99999999999449</v>
      </c>
    </row>
    <row r="16" spans="1:8" x14ac:dyDescent="0.3">
      <c r="B16">
        <v>7</v>
      </c>
      <c r="C16" s="1">
        <v>5</v>
      </c>
      <c r="D16" s="3">
        <v>0.50501157407407404</v>
      </c>
      <c r="E16" s="17">
        <v>23.999999999994159</v>
      </c>
      <c r="F16" s="3">
        <v>0.50831018518518511</v>
      </c>
      <c r="G16" s="15">
        <v>284.99999999999659</v>
      </c>
    </row>
    <row r="17" spans="2:7" x14ac:dyDescent="0.3">
      <c r="B17">
        <v>8</v>
      </c>
      <c r="C17" s="1">
        <v>5</v>
      </c>
      <c r="D17" s="3">
        <v>0.50638888888888889</v>
      </c>
      <c r="E17" s="17">
        <v>119.00000000000261</v>
      </c>
      <c r="F17" s="3">
        <v>0.50883101851851853</v>
      </c>
      <c r="G17" s="15">
        <v>211.00000000000102</v>
      </c>
    </row>
    <row r="18" spans="2:7" x14ac:dyDescent="0.3">
      <c r="B18">
        <v>9</v>
      </c>
      <c r="C18" s="1">
        <v>4</v>
      </c>
      <c r="D18" s="3">
        <v>0.50728009259259255</v>
      </c>
      <c r="E18" s="17">
        <v>76.999999999996049</v>
      </c>
      <c r="F18" s="3">
        <v>0.50912037037037039</v>
      </c>
      <c r="G18" s="15">
        <v>159.00000000000568</v>
      </c>
    </row>
    <row r="19" spans="2:7" x14ac:dyDescent="0.3">
      <c r="B19">
        <v>10</v>
      </c>
      <c r="C19" s="1">
        <v>4</v>
      </c>
      <c r="D19" s="3">
        <v>0.50770833333333332</v>
      </c>
      <c r="E19" s="17">
        <v>37.000000000002586</v>
      </c>
      <c r="F19" s="3">
        <v>0.50940972222222225</v>
      </c>
      <c r="G19" s="15">
        <v>147.00000000000381</v>
      </c>
    </row>
    <row r="20" spans="2:7" x14ac:dyDescent="0.3">
      <c r="B20">
        <v>11</v>
      </c>
      <c r="C20" s="1">
        <v>5</v>
      </c>
      <c r="D20" s="3">
        <v>0.50780092592592596</v>
      </c>
      <c r="E20" s="17">
        <v>8.000000000004448</v>
      </c>
      <c r="F20" s="3">
        <v>0.50973379629629634</v>
      </c>
      <c r="G20" s="15">
        <v>167.00000000000051</v>
      </c>
    </row>
    <row r="21" spans="2:7" x14ac:dyDescent="0.3">
      <c r="B21">
        <v>12</v>
      </c>
      <c r="C21" s="1">
        <v>6</v>
      </c>
      <c r="D21" s="3">
        <v>0.50788194444444446</v>
      </c>
      <c r="E21" s="17">
        <v>6.9999999999978968</v>
      </c>
      <c r="F21" s="3">
        <v>0.51019675925925922</v>
      </c>
      <c r="G21" s="15">
        <v>199.99999999999608</v>
      </c>
    </row>
    <row r="22" spans="2:7" x14ac:dyDescent="0.3">
      <c r="B22">
        <v>13</v>
      </c>
      <c r="C22" s="1">
        <v>7</v>
      </c>
      <c r="D22" s="3">
        <v>0.50795138888888891</v>
      </c>
      <c r="E22" s="17">
        <v>6.0000000000009379</v>
      </c>
      <c r="F22" s="3">
        <v>0.5105439814814815</v>
      </c>
      <c r="G22" s="15">
        <v>223.99999999999983</v>
      </c>
    </row>
    <row r="23" spans="2:7" x14ac:dyDescent="0.3">
      <c r="B23">
        <v>14</v>
      </c>
      <c r="C23" s="1">
        <v>8</v>
      </c>
      <c r="D23" s="3">
        <v>0.50799768518518518</v>
      </c>
      <c r="E23" s="17">
        <v>3.9999999999974278</v>
      </c>
      <c r="F23" s="3">
        <v>0.51108796296296299</v>
      </c>
      <c r="G23" s="15">
        <v>267.00000000000335</v>
      </c>
    </row>
    <row r="24" spans="2:7" x14ac:dyDescent="0.3">
      <c r="B24">
        <v>15</v>
      </c>
      <c r="C24" s="1">
        <v>7</v>
      </c>
      <c r="D24" s="3">
        <v>0.50888888888888884</v>
      </c>
      <c r="E24" s="17">
        <v>76.999999999996049</v>
      </c>
      <c r="F24" s="3">
        <v>0.51172453703703702</v>
      </c>
      <c r="G24" s="15">
        <v>245.00000000000313</v>
      </c>
    </row>
    <row r="25" spans="2:7" x14ac:dyDescent="0.3">
      <c r="B25">
        <v>16</v>
      </c>
      <c r="C25" s="1">
        <v>7</v>
      </c>
      <c r="D25" s="3">
        <v>0.50918981481481485</v>
      </c>
      <c r="E25" s="17">
        <v>26.000000000007262</v>
      </c>
      <c r="F25" s="3">
        <v>0.51192129629629635</v>
      </c>
      <c r="G25" s="15">
        <v>236.00000000000171</v>
      </c>
    </row>
    <row r="26" spans="2:7" x14ac:dyDescent="0.3">
      <c r="B26">
        <v>17</v>
      </c>
      <c r="C26" s="1">
        <v>7</v>
      </c>
      <c r="D26" s="3">
        <v>0.50966435185185188</v>
      </c>
      <c r="E26" s="17">
        <v>41.000000000000014</v>
      </c>
      <c r="F26" s="3">
        <v>0.51204861111111111</v>
      </c>
      <c r="G26" s="15">
        <v>205.99999999999704</v>
      </c>
    </row>
    <row r="27" spans="2:7" x14ac:dyDescent="0.3">
      <c r="B27">
        <v>18</v>
      </c>
      <c r="C27" s="1">
        <v>6</v>
      </c>
      <c r="D27" s="3">
        <v>0.51043981481481482</v>
      </c>
      <c r="E27" s="17">
        <v>66.999999999997684</v>
      </c>
      <c r="F27" s="3">
        <v>0.51241898148148146</v>
      </c>
      <c r="G27" s="15">
        <v>170.99999999999795</v>
      </c>
    </row>
    <row r="28" spans="2:7" x14ac:dyDescent="0.3">
      <c r="B28">
        <v>19</v>
      </c>
      <c r="C28" s="1">
        <v>6</v>
      </c>
      <c r="D28" s="3">
        <v>0.51099537037037035</v>
      </c>
      <c r="E28" s="17">
        <v>47.999999999997911</v>
      </c>
      <c r="F28" s="3">
        <v>0.51331018518518523</v>
      </c>
      <c r="G28" s="15">
        <v>200.00000000000568</v>
      </c>
    </row>
    <row r="29" spans="2:7" x14ac:dyDescent="0.3">
      <c r="B29">
        <v>20</v>
      </c>
      <c r="C29" s="1">
        <v>7</v>
      </c>
      <c r="D29" s="3">
        <v>0.51105324074074077</v>
      </c>
      <c r="E29" s="17">
        <v>5.000000000003979</v>
      </c>
      <c r="F29" s="3">
        <v>0.51350694444444445</v>
      </c>
      <c r="G29" s="15">
        <v>211.99999999999795</v>
      </c>
    </row>
    <row r="30" spans="2:7" x14ac:dyDescent="0.3">
      <c r="B30">
        <v>21</v>
      </c>
      <c r="C30" s="1">
        <v>7</v>
      </c>
      <c r="D30" s="3">
        <v>0.51109953703703703</v>
      </c>
      <c r="E30" s="17">
        <v>3.9999999999974278</v>
      </c>
      <c r="F30" s="3">
        <v>0.51372685185185185</v>
      </c>
      <c r="G30" s="15">
        <v>227.00000000000031</v>
      </c>
    </row>
    <row r="31" spans="2:7" x14ac:dyDescent="0.3">
      <c r="B31">
        <v>22</v>
      </c>
      <c r="C31" s="1">
        <v>8</v>
      </c>
      <c r="D31" s="3">
        <v>0.51113425925925926</v>
      </c>
      <c r="E31" s="17">
        <v>3.000000000000469</v>
      </c>
      <c r="F31" s="3">
        <v>0.51393518518518522</v>
      </c>
      <c r="G31" s="15">
        <v>242.00000000000267</v>
      </c>
    </row>
    <row r="32" spans="2:7" x14ac:dyDescent="0.3">
      <c r="B32">
        <v>23</v>
      </c>
      <c r="C32" s="1">
        <v>9</v>
      </c>
      <c r="D32" s="3">
        <v>0.5111458333333333</v>
      </c>
      <c r="E32" s="17">
        <v>0.99999999999695888</v>
      </c>
      <c r="F32" s="3">
        <v>0.51420138888888889</v>
      </c>
      <c r="G32" s="15">
        <v>264.0000000000029</v>
      </c>
    </row>
    <row r="33" spans="2:7" x14ac:dyDescent="0.3">
      <c r="B33">
        <v>24</v>
      </c>
      <c r="C33" s="1">
        <v>10</v>
      </c>
      <c r="D33" s="3">
        <v>0.51115740740740734</v>
      </c>
      <c r="E33" s="17">
        <v>0.99999999999695888</v>
      </c>
      <c r="F33" s="3">
        <v>0.51458333333333328</v>
      </c>
      <c r="G33" s="15">
        <v>296.00000000000148</v>
      </c>
    </row>
    <row r="34" spans="2:7" x14ac:dyDescent="0.3">
      <c r="B34">
        <v>25</v>
      </c>
      <c r="C34" s="1">
        <v>11</v>
      </c>
      <c r="D34" s="3">
        <v>0.51128472222222221</v>
      </c>
      <c r="E34" s="17">
        <v>11.000000000004917</v>
      </c>
      <c r="F34" s="3">
        <v>0.51523148148148146</v>
      </c>
      <c r="G34" s="15">
        <v>340.99999999999898</v>
      </c>
    </row>
    <row r="35" spans="2:7" x14ac:dyDescent="0.3">
      <c r="B35">
        <v>26</v>
      </c>
      <c r="C35" s="1">
        <v>12</v>
      </c>
      <c r="D35" s="3">
        <v>0.51133101851851859</v>
      </c>
      <c r="E35" s="17">
        <v>4.0000000000070202</v>
      </c>
      <c r="F35" s="3">
        <v>0.51548611111111109</v>
      </c>
      <c r="G35" s="15">
        <v>358.99999999999216</v>
      </c>
    </row>
    <row r="36" spans="2:7" x14ac:dyDescent="0.3">
      <c r="B36">
        <v>27</v>
      </c>
      <c r="C36" s="1">
        <v>13</v>
      </c>
      <c r="D36" s="3">
        <v>0.51165509259259256</v>
      </c>
      <c r="E36" s="17">
        <v>27.999999999991587</v>
      </c>
      <c r="F36" s="3">
        <v>0.51581018518518518</v>
      </c>
      <c r="G36" s="15">
        <v>359.00000000000176</v>
      </c>
    </row>
    <row r="37" spans="2:7" x14ac:dyDescent="0.3">
      <c r="B37">
        <v>28</v>
      </c>
      <c r="C37" s="1">
        <v>11</v>
      </c>
      <c r="D37" s="3">
        <v>0.51223379629629628</v>
      </c>
      <c r="E37" s="17">
        <v>50.000000000001421</v>
      </c>
      <c r="F37" s="3">
        <v>0.51605324074074077</v>
      </c>
      <c r="G37" s="15">
        <v>330.00000000000364</v>
      </c>
    </row>
    <row r="38" spans="2:7" x14ac:dyDescent="0.3">
      <c r="B38">
        <v>29</v>
      </c>
      <c r="C38" s="1">
        <v>11</v>
      </c>
      <c r="D38" s="3">
        <v>0.51266203703703705</v>
      </c>
      <c r="E38" s="17">
        <v>37.000000000002586</v>
      </c>
      <c r="F38" s="3">
        <v>0.51648148148148143</v>
      </c>
      <c r="G38" s="15">
        <v>329.99999999999403</v>
      </c>
    </row>
    <row r="39" spans="2:7" x14ac:dyDescent="0.3">
      <c r="B39">
        <v>30</v>
      </c>
      <c r="C39" s="1">
        <v>12</v>
      </c>
      <c r="D39" s="3">
        <v>0.51291666666666669</v>
      </c>
      <c r="E39" s="17">
        <v>22.000000000000242</v>
      </c>
      <c r="F39" s="3">
        <v>0.51677083333333329</v>
      </c>
      <c r="G39" s="15">
        <v>332.99999999999449</v>
      </c>
    </row>
    <row r="40" spans="2:7" x14ac:dyDescent="0.3">
      <c r="B40">
        <v>31</v>
      </c>
      <c r="C40" s="1">
        <v>13</v>
      </c>
      <c r="D40" s="3">
        <v>0.51328703703703704</v>
      </c>
      <c r="E40" s="17">
        <v>31.999999999998607</v>
      </c>
      <c r="F40" s="3">
        <v>0.51709490740740738</v>
      </c>
      <c r="G40" s="15">
        <v>328.99999999999704</v>
      </c>
    </row>
    <row r="41" spans="2:7" x14ac:dyDescent="0.3">
      <c r="B41">
        <v>32</v>
      </c>
      <c r="C41" s="1">
        <v>13</v>
      </c>
      <c r="D41" s="3">
        <v>0.51339120370370372</v>
      </c>
      <c r="E41" s="17">
        <v>9.0000000000014069</v>
      </c>
      <c r="F41" s="3">
        <v>0.51755787037037038</v>
      </c>
      <c r="G41" s="15">
        <v>359.99999999999875</v>
      </c>
    </row>
    <row r="42" spans="2:7" x14ac:dyDescent="0.3">
      <c r="B42">
        <v>33</v>
      </c>
      <c r="C42" s="1">
        <v>12</v>
      </c>
      <c r="D42" s="3">
        <v>0.51393518518518522</v>
      </c>
      <c r="E42" s="17">
        <v>47.000000000000952</v>
      </c>
      <c r="F42" s="3">
        <v>0.51812500000000006</v>
      </c>
      <c r="G42" s="15">
        <v>362.00000000000222</v>
      </c>
    </row>
    <row r="43" spans="2:7" x14ac:dyDescent="0.3">
      <c r="B43">
        <v>34</v>
      </c>
      <c r="C43" s="1">
        <v>11</v>
      </c>
      <c r="D43" s="3">
        <v>0.51438657407407407</v>
      </c>
      <c r="E43" s="17">
        <v>38.999999999996504</v>
      </c>
      <c r="F43" s="3">
        <v>0.51840277777777777</v>
      </c>
      <c r="G43" s="15">
        <v>346.99999999999989</v>
      </c>
    </row>
    <row r="44" spans="2:7" x14ac:dyDescent="0.3">
      <c r="B44">
        <v>35</v>
      </c>
      <c r="C44" s="1">
        <v>12</v>
      </c>
      <c r="D44" s="3">
        <v>0.51454861111111116</v>
      </c>
      <c r="E44" s="17">
        <v>14.000000000005386</v>
      </c>
      <c r="F44" s="3">
        <v>0.51853009259259253</v>
      </c>
      <c r="G44" s="15">
        <v>343.99999999998983</v>
      </c>
    </row>
    <row r="45" spans="2:7" x14ac:dyDescent="0.3">
      <c r="B45">
        <v>36</v>
      </c>
      <c r="C45" s="1">
        <v>13</v>
      </c>
      <c r="D45" s="3">
        <v>0.51454861111111116</v>
      </c>
      <c r="E45" s="17">
        <v>0</v>
      </c>
      <c r="F45" s="3">
        <v>0.51869212962962963</v>
      </c>
      <c r="G45" s="15">
        <v>357.99999999999523</v>
      </c>
    </row>
    <row r="46" spans="2:7" x14ac:dyDescent="0.3">
      <c r="B46">
        <v>37</v>
      </c>
      <c r="C46" s="1">
        <v>13</v>
      </c>
      <c r="D46" s="3">
        <v>0.51520833333333338</v>
      </c>
      <c r="E46" s="17">
        <v>56.999999999999318</v>
      </c>
      <c r="F46" s="3">
        <v>0.51899305555555553</v>
      </c>
      <c r="G46" s="15">
        <v>326.99999999999358</v>
      </c>
    </row>
    <row r="47" spans="2:7" x14ac:dyDescent="0.3">
      <c r="B47">
        <v>38</v>
      </c>
      <c r="C47" s="1">
        <v>13</v>
      </c>
      <c r="D47" s="3">
        <v>0.51527777777777783</v>
      </c>
      <c r="E47" s="17">
        <v>6.0000000000009379</v>
      </c>
      <c r="F47" s="3">
        <v>0.5194212962962963</v>
      </c>
      <c r="G47" s="15">
        <v>357.99999999999523</v>
      </c>
    </row>
    <row r="48" spans="2:7" x14ac:dyDescent="0.3">
      <c r="B48">
        <v>39</v>
      </c>
      <c r="C48" s="1">
        <v>13</v>
      </c>
      <c r="D48" s="3">
        <v>0.51554398148148151</v>
      </c>
      <c r="E48" s="17">
        <v>22.9999999999972</v>
      </c>
      <c r="F48" s="3">
        <v>0.5198032407407408</v>
      </c>
      <c r="G48" s="15">
        <v>368.00000000000318</v>
      </c>
    </row>
    <row r="49" spans="2:7" x14ac:dyDescent="0.3">
      <c r="B49">
        <v>40</v>
      </c>
      <c r="C49" s="1">
        <v>12</v>
      </c>
      <c r="D49" s="3">
        <v>0.51623842592592595</v>
      </c>
      <c r="E49" s="17">
        <v>59.999999999999787</v>
      </c>
      <c r="F49" s="3">
        <v>0.52020833333333327</v>
      </c>
      <c r="G49" s="15">
        <v>342.99999999999284</v>
      </c>
    </row>
    <row r="50" spans="2:7" x14ac:dyDescent="0.3">
      <c r="B50">
        <v>41</v>
      </c>
      <c r="C50" s="1">
        <v>12</v>
      </c>
      <c r="D50" s="3">
        <v>0.51672453703703702</v>
      </c>
      <c r="E50" s="17">
        <v>41.999999999996973</v>
      </c>
      <c r="F50" s="3">
        <v>0.52049768518518513</v>
      </c>
      <c r="G50" s="15">
        <v>325.99999999999659</v>
      </c>
    </row>
    <row r="51" spans="2:7" x14ac:dyDescent="0.3">
      <c r="B51">
        <v>42</v>
      </c>
      <c r="C51" s="1">
        <v>10</v>
      </c>
      <c r="D51" s="3">
        <v>0.51777777777777778</v>
      </c>
      <c r="E51" s="17">
        <v>91.000000000001435</v>
      </c>
      <c r="F51" s="3">
        <v>0.52064814814814808</v>
      </c>
      <c r="G51" s="15">
        <v>247.999999999994</v>
      </c>
    </row>
    <row r="52" spans="2:7" x14ac:dyDescent="0.3">
      <c r="B52">
        <v>43</v>
      </c>
      <c r="C52" s="1">
        <v>11</v>
      </c>
      <c r="D52" s="3">
        <v>0.51810185185185187</v>
      </c>
      <c r="E52" s="17">
        <v>28.00000000000118</v>
      </c>
      <c r="F52" s="3">
        <v>0.52106481481481481</v>
      </c>
      <c r="G52" s="15">
        <v>255.99999999999847</v>
      </c>
    </row>
    <row r="53" spans="2:7" x14ac:dyDescent="0.3">
      <c r="B53">
        <v>44</v>
      </c>
      <c r="C53" s="1">
        <v>11</v>
      </c>
      <c r="D53" s="3">
        <v>0.51819444444444451</v>
      </c>
      <c r="E53" s="17">
        <v>8.000000000004448</v>
      </c>
      <c r="F53" s="3">
        <v>0.5213888888888889</v>
      </c>
      <c r="G53" s="15">
        <v>275.99999999999517</v>
      </c>
    </row>
    <row r="54" spans="2:7" x14ac:dyDescent="0.3">
      <c r="B54">
        <v>45</v>
      </c>
      <c r="C54" s="1">
        <v>12</v>
      </c>
      <c r="D54" s="3">
        <v>0.51829861111111108</v>
      </c>
      <c r="E54" s="17">
        <v>8.9999999999918145</v>
      </c>
      <c r="F54" s="3">
        <v>0.52197916666666666</v>
      </c>
      <c r="G54" s="15">
        <v>318.00000000000176</v>
      </c>
    </row>
    <row r="55" spans="2:7" x14ac:dyDescent="0.3">
      <c r="B55">
        <v>46</v>
      </c>
      <c r="C55" s="1">
        <v>8</v>
      </c>
      <c r="D55" s="3">
        <v>0.51946759259259256</v>
      </c>
      <c r="E55" s="17">
        <v>100.9999999999998</v>
      </c>
      <c r="F55" s="3">
        <v>0.52224537037037033</v>
      </c>
      <c r="G55" s="15">
        <v>239.99999999999915</v>
      </c>
    </row>
    <row r="56" spans="2:7" x14ac:dyDescent="0.3">
      <c r="B56">
        <v>47</v>
      </c>
      <c r="C56" s="1">
        <v>8</v>
      </c>
      <c r="D56" s="3">
        <v>0.51995370370370375</v>
      </c>
      <c r="E56" s="17">
        <v>42.000000000006565</v>
      </c>
      <c r="F56" s="3">
        <v>0.52263888888888888</v>
      </c>
      <c r="G56" s="15">
        <v>231.99999999999471</v>
      </c>
    </row>
    <row r="57" spans="2:7" x14ac:dyDescent="0.3">
      <c r="B57">
        <v>48</v>
      </c>
      <c r="C57" s="1">
        <v>6</v>
      </c>
      <c r="D57" s="3">
        <v>0.52065972222222223</v>
      </c>
      <c r="E57" s="17">
        <v>60.999999999996746</v>
      </c>
      <c r="F57" s="3">
        <v>0.52310185185185187</v>
      </c>
      <c r="G57" s="15">
        <v>211.00000000000102</v>
      </c>
    </row>
    <row r="58" spans="2:7" x14ac:dyDescent="0.3">
      <c r="B58">
        <v>49</v>
      </c>
      <c r="C58" s="1">
        <v>5</v>
      </c>
      <c r="D58" s="3">
        <v>0.52180555555555552</v>
      </c>
      <c r="E58" s="17">
        <v>98.999999999996291</v>
      </c>
      <c r="F58" s="3">
        <v>0.52344907407407404</v>
      </c>
      <c r="G58" s="15">
        <v>141.99999999999983</v>
      </c>
    </row>
    <row r="59" spans="2:7" x14ac:dyDescent="0.3">
      <c r="B59">
        <v>50</v>
      </c>
      <c r="C59" s="1">
        <v>4</v>
      </c>
      <c r="D59" s="3">
        <v>0.52247685185185189</v>
      </c>
      <c r="E59" s="17">
        <v>58.000000000005869</v>
      </c>
      <c r="F59" s="3">
        <v>0.52421296296296294</v>
      </c>
      <c r="G59" s="15">
        <v>149.99999999999466</v>
      </c>
    </row>
    <row r="60" spans="2:7" x14ac:dyDescent="0.3">
      <c r="B60">
        <v>51</v>
      </c>
      <c r="C60" s="1">
        <v>4</v>
      </c>
      <c r="D60" s="3">
        <v>0.52304398148148146</v>
      </c>
      <c r="E60" s="17">
        <v>48.99999999999487</v>
      </c>
      <c r="F60" s="3">
        <v>0.52467592592592593</v>
      </c>
      <c r="G60" s="15">
        <v>141.00000000000284</v>
      </c>
    </row>
    <row r="61" spans="2:7" x14ac:dyDescent="0.3">
      <c r="B61">
        <v>52</v>
      </c>
      <c r="C61" s="1">
        <v>4</v>
      </c>
      <c r="D61" s="3">
        <v>0.52336805555555554</v>
      </c>
      <c r="E61" s="17">
        <v>28.00000000000118</v>
      </c>
      <c r="F61" s="3">
        <v>0.52494212962962961</v>
      </c>
      <c r="G61" s="15">
        <v>135.99999999999886</v>
      </c>
    </row>
    <row r="62" spans="2:7" x14ac:dyDescent="0.3">
      <c r="B62">
        <v>53</v>
      </c>
      <c r="C62" s="1">
        <v>5</v>
      </c>
      <c r="D62" s="3">
        <v>0.52342592592592596</v>
      </c>
      <c r="E62" s="17">
        <v>5.000000000003979</v>
      </c>
      <c r="F62" s="3">
        <v>0.52527777777777784</v>
      </c>
      <c r="G62" s="15">
        <v>160.00000000000261</v>
      </c>
    </row>
    <row r="63" spans="2:7" x14ac:dyDescent="0.3">
      <c r="B63">
        <v>54</v>
      </c>
      <c r="C63" s="1">
        <v>5</v>
      </c>
      <c r="D63" s="3">
        <v>0.52388888888888896</v>
      </c>
      <c r="E63" s="17">
        <v>40.000000000003055</v>
      </c>
      <c r="F63" s="3">
        <v>0.52589120370370368</v>
      </c>
      <c r="G63" s="15">
        <v>172.99999999999187</v>
      </c>
    </row>
    <row r="64" spans="2:7" x14ac:dyDescent="0.3">
      <c r="B64">
        <v>55</v>
      </c>
      <c r="C64" s="1">
        <v>5</v>
      </c>
      <c r="D64" s="3">
        <v>0.52437500000000004</v>
      </c>
      <c r="E64" s="17">
        <v>41.999999999996973</v>
      </c>
      <c r="F64" s="3">
        <v>0.52590277777777772</v>
      </c>
      <c r="G64" s="15">
        <v>131.99999999999187</v>
      </c>
    </row>
    <row r="65" spans="2:7" x14ac:dyDescent="0.3">
      <c r="B65">
        <v>56</v>
      </c>
      <c r="C65" s="1">
        <v>6</v>
      </c>
      <c r="D65" s="3">
        <v>0.52458333333333329</v>
      </c>
      <c r="E65" s="17">
        <v>17.999999999993221</v>
      </c>
      <c r="F65" s="3">
        <v>0.52681712962962968</v>
      </c>
      <c r="G65" s="15">
        <v>193.00000000000779</v>
      </c>
    </row>
    <row r="66" spans="2:7" x14ac:dyDescent="0.3">
      <c r="B66">
        <v>57</v>
      </c>
      <c r="C66" s="1">
        <v>5</v>
      </c>
      <c r="D66" s="3">
        <v>0.52496527777777779</v>
      </c>
      <c r="E66" s="17">
        <v>33.000000000005159</v>
      </c>
      <c r="F66" s="3">
        <v>0.5272916666666666</v>
      </c>
      <c r="G66" s="15">
        <v>200.99999999999307</v>
      </c>
    </row>
    <row r="67" spans="2:7" x14ac:dyDescent="0.3">
      <c r="B67">
        <v>58</v>
      </c>
      <c r="C67" s="1">
        <v>5</v>
      </c>
      <c r="D67" s="3">
        <v>0.52587962962962964</v>
      </c>
      <c r="E67" s="17">
        <v>78.999999999999559</v>
      </c>
      <c r="F67" s="3">
        <v>0.52760416666666665</v>
      </c>
      <c r="G67" s="15">
        <v>148.99999999999773</v>
      </c>
    </row>
    <row r="68" spans="2:7" x14ac:dyDescent="0.3">
      <c r="B68">
        <v>59</v>
      </c>
      <c r="C68" s="1">
        <v>4</v>
      </c>
      <c r="D68" s="3">
        <v>0.5267708333333333</v>
      </c>
      <c r="E68" s="17">
        <v>76.999999999996049</v>
      </c>
      <c r="F68" s="3">
        <v>0.52831018518518513</v>
      </c>
      <c r="G68" s="15">
        <v>132.99999999999841</v>
      </c>
    </row>
    <row r="69" spans="2:7" x14ac:dyDescent="0.3">
      <c r="B69">
        <v>60</v>
      </c>
      <c r="C69" s="1">
        <v>4</v>
      </c>
      <c r="D69" s="3">
        <v>0.5269907407407407</v>
      </c>
      <c r="E69" s="17">
        <v>18.999999999999773</v>
      </c>
      <c r="F69" s="3">
        <v>0.52861111111111114</v>
      </c>
      <c r="G69" s="15">
        <v>140.00000000000591</v>
      </c>
    </row>
    <row r="70" spans="2:7" x14ac:dyDescent="0.3">
      <c r="B70">
        <v>61</v>
      </c>
      <c r="C70" s="1">
        <v>3</v>
      </c>
      <c r="D70" s="3">
        <v>0.52762731481481484</v>
      </c>
      <c r="E70" s="17">
        <v>55.0000000000054</v>
      </c>
      <c r="F70" s="3">
        <v>0.52896990740740735</v>
      </c>
      <c r="G70" s="15">
        <v>115.99999999999255</v>
      </c>
    </row>
    <row r="71" spans="2:7" x14ac:dyDescent="0.3">
      <c r="B71">
        <v>62</v>
      </c>
      <c r="C71" s="1">
        <v>4</v>
      </c>
      <c r="D71" s="3">
        <v>0.52803240740740742</v>
      </c>
      <c r="E71" s="17">
        <v>34.999999999999076</v>
      </c>
      <c r="F71" s="3">
        <v>0.53015046296296298</v>
      </c>
      <c r="G71" s="15">
        <v>182.99999999999983</v>
      </c>
    </row>
    <row r="72" spans="2:7" x14ac:dyDescent="0.3">
      <c r="B72">
        <v>63</v>
      </c>
      <c r="C72" s="1">
        <v>4</v>
      </c>
      <c r="D72" s="3">
        <v>0.52836805555555555</v>
      </c>
      <c r="E72" s="17">
        <v>28.999999999998138</v>
      </c>
      <c r="F72" s="3">
        <v>0.53052083333333333</v>
      </c>
      <c r="G72" s="15">
        <v>186.00000000000028</v>
      </c>
    </row>
    <row r="73" spans="2:7" x14ac:dyDescent="0.3">
      <c r="B73">
        <v>64</v>
      </c>
      <c r="C73" s="1">
        <v>4</v>
      </c>
      <c r="D73" s="3">
        <v>0.52864583333333337</v>
      </c>
      <c r="E73" s="17">
        <v>24.000000000003752</v>
      </c>
      <c r="F73" s="3">
        <v>0.53083333333333338</v>
      </c>
      <c r="G73" s="15">
        <v>189.00000000000077</v>
      </c>
    </row>
    <row r="74" spans="2:7" x14ac:dyDescent="0.3">
      <c r="B74">
        <v>65</v>
      </c>
      <c r="C74" s="1">
        <v>5</v>
      </c>
      <c r="D74" s="3">
        <v>0.52886574074074078</v>
      </c>
      <c r="E74" s="17">
        <v>18.999999999999773</v>
      </c>
      <c r="F74" s="3">
        <v>0.53099537037037037</v>
      </c>
      <c r="G74" s="15">
        <v>183.99999999999679</v>
      </c>
    </row>
    <row r="75" spans="2:7" x14ac:dyDescent="0.3">
      <c r="B75">
        <v>66</v>
      </c>
      <c r="C75" s="1">
        <v>5</v>
      </c>
      <c r="D75" s="3">
        <v>0.52957175925925926</v>
      </c>
      <c r="E75" s="17">
        <v>60.999999999996746</v>
      </c>
      <c r="F75" s="3">
        <v>0.53121527777777777</v>
      </c>
      <c r="G75" s="15">
        <v>141.99999999999983</v>
      </c>
    </row>
    <row r="76" spans="2:7" x14ac:dyDescent="0.3">
      <c r="B76">
        <v>67</v>
      </c>
      <c r="C76" s="1">
        <v>6</v>
      </c>
      <c r="D76" s="3">
        <v>0.52961805555555552</v>
      </c>
      <c r="E76" s="17">
        <v>3.9999999999974278</v>
      </c>
      <c r="F76" s="3">
        <v>0.53159722222222217</v>
      </c>
      <c r="G76" s="15">
        <v>170.99999999999795</v>
      </c>
    </row>
    <row r="77" spans="2:7" x14ac:dyDescent="0.3">
      <c r="B77">
        <v>68</v>
      </c>
      <c r="C77" s="1">
        <v>5</v>
      </c>
      <c r="D77" s="3">
        <v>0.53055555555555556</v>
      </c>
      <c r="E77" s="17">
        <v>81.00000000000307</v>
      </c>
      <c r="F77" s="3">
        <v>0.53195601851851848</v>
      </c>
      <c r="G77" s="15">
        <v>120.99999999999653</v>
      </c>
    </row>
    <row r="78" spans="2:7" x14ac:dyDescent="0.3">
      <c r="B78">
        <v>69</v>
      </c>
      <c r="C78" s="1">
        <v>6</v>
      </c>
      <c r="D78" s="3">
        <v>0.53065972222222224</v>
      </c>
      <c r="E78" s="17">
        <v>9.0000000000014069</v>
      </c>
      <c r="F78" s="3">
        <v>0.5326157407407407</v>
      </c>
      <c r="G78" s="15">
        <v>168.99999999999443</v>
      </c>
    </row>
    <row r="79" spans="2:7" x14ac:dyDescent="0.3">
      <c r="B79">
        <v>70</v>
      </c>
      <c r="C79" s="1">
        <v>5</v>
      </c>
      <c r="D79" s="3">
        <v>0.53119212962962969</v>
      </c>
      <c r="E79" s="17">
        <v>46.000000000003993</v>
      </c>
      <c r="F79" s="3">
        <v>0.53295138888888893</v>
      </c>
      <c r="G79" s="15">
        <v>151.99999999999818</v>
      </c>
    </row>
    <row r="80" spans="2:7" x14ac:dyDescent="0.3">
      <c r="B80">
        <v>71</v>
      </c>
      <c r="C80" s="1">
        <v>5</v>
      </c>
      <c r="D80" s="3">
        <v>0.53153935185185186</v>
      </c>
      <c r="E80" s="17">
        <v>29.999999999995097</v>
      </c>
      <c r="F80" s="3">
        <v>0.53320601851851845</v>
      </c>
      <c r="G80" s="15">
        <v>143.99999999999375</v>
      </c>
    </row>
    <row r="81" spans="2:7" x14ac:dyDescent="0.3">
      <c r="B81">
        <v>72</v>
      </c>
      <c r="C81" s="1">
        <v>5</v>
      </c>
      <c r="D81" s="3">
        <v>0.53162037037037035</v>
      </c>
      <c r="E81" s="17">
        <v>6.9999999999978968</v>
      </c>
      <c r="F81" s="3">
        <v>0.53370370370370368</v>
      </c>
      <c r="G81" s="15">
        <v>179.99999999999937</v>
      </c>
    </row>
    <row r="82" spans="2:7" x14ac:dyDescent="0.3">
      <c r="B82">
        <v>73</v>
      </c>
      <c r="C82" s="1">
        <v>4</v>
      </c>
      <c r="D82" s="3">
        <v>0.53262731481481485</v>
      </c>
      <c r="E82" s="17">
        <v>87.000000000004007</v>
      </c>
    </row>
    <row r="83" spans="2:7" x14ac:dyDescent="0.3">
      <c r="B83">
        <v>74</v>
      </c>
      <c r="C83" s="1">
        <v>5</v>
      </c>
      <c r="D83" s="3">
        <v>0.53289351851851852</v>
      </c>
      <c r="E83" s="17">
        <v>22.9999999999972</v>
      </c>
    </row>
    <row r="84" spans="2:7" x14ac:dyDescent="0.3">
      <c r="B84">
        <v>75</v>
      </c>
      <c r="C84" s="1">
        <v>4</v>
      </c>
      <c r="D84" s="3">
        <v>0.53353009259259265</v>
      </c>
      <c r="E84" s="17">
        <v>55.0000000000054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29</vt:i4>
      </vt:variant>
    </vt:vector>
  </HeadingPairs>
  <TitlesOfParts>
    <vt:vector size="31" baseType="lpstr">
      <vt:lpstr>Customer Monitoring</vt:lpstr>
      <vt:lpstr>Log</vt:lpstr>
      <vt:lpstr>ArrivalTimeLog</vt:lpstr>
      <vt:lpstr>Current_Customers</vt:lpstr>
      <vt:lpstr>CustomerIndexLog</vt:lpstr>
      <vt:lpstr>CustomerNumberLog</vt:lpstr>
      <vt:lpstr>DepartureTimeLog</vt:lpstr>
      <vt:lpstr>InterarrivalTimeLog</vt:lpstr>
      <vt:lpstr>LeadTimeLog</vt:lpstr>
      <vt:lpstr>Max_ArrivalTime</vt:lpstr>
      <vt:lpstr>Max_CustomerNumber</vt:lpstr>
      <vt:lpstr>Max_DepartureTime</vt:lpstr>
      <vt:lpstr>Max_Interarrival</vt:lpstr>
      <vt:lpstr>Max_LeadTime</vt:lpstr>
      <vt:lpstr>Mean_ArrivalTime</vt:lpstr>
      <vt:lpstr>Mean_CustomerNumber</vt:lpstr>
      <vt:lpstr>Mean_DepartureTime</vt:lpstr>
      <vt:lpstr>Mean_Interarrival</vt:lpstr>
      <vt:lpstr>Mean_LeadTime</vt:lpstr>
      <vt:lpstr>Min_ArrivalTime</vt:lpstr>
      <vt:lpstr>Min_CustomerNumber</vt:lpstr>
      <vt:lpstr>Min_DepartureTime</vt:lpstr>
      <vt:lpstr>Min_Interarrival</vt:lpstr>
      <vt:lpstr>Min_LeadTime</vt:lpstr>
      <vt:lpstr>SD_ArrivalTIme</vt:lpstr>
      <vt:lpstr>SD_CustomerNumber</vt:lpstr>
      <vt:lpstr>SD_DepartureTime</vt:lpstr>
      <vt:lpstr>SD_Interarrival</vt:lpstr>
      <vt:lpstr>SD_LeadTime</vt:lpstr>
      <vt:lpstr>StartTime</vt:lpstr>
      <vt:lpstr>Total_Customers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Striker</dc:creator>
  <cp:lastModifiedBy>Striker</cp:lastModifiedBy>
  <dcterms:created xsi:type="dcterms:W3CDTF">2018-10-21T04:18:02Z</dcterms:created>
  <dcterms:modified xsi:type="dcterms:W3CDTF">2018-10-30T04:50:39Z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FormulaDeskUniqueName">
    <vt:lpwstr>d6055439-98fa-4c9a-803d-d0bea93db2e5</vt:lpwstr>
  </property>
</Properties>
</file>