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/>
  <workbookPr filterPrivacy="1"/>
  <xr:revisionPtr revIDLastSave="0" documentId="10_ncr:100000_{10D8A801-A5A1-4B47-A922-C8C9B88EEE9A}" xr6:coauthVersionLast="31" xr6:coauthVersionMax="31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definedNames>
    <definedName name="_xlchart.v1.0" hidden="1">Sheet1!$E$9:$E$353</definedName>
    <definedName name="_xlchart.v1.1" hidden="1">Sheet1!$C$9:$C$353</definedName>
    <definedName name="_xlchart.v1.2" hidden="1">Sheet1!$G$9:$G$353</definedName>
    <definedName name="_xlchart.v1.3" hidden="1">Sheet1!$E$9:$E$353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F6" i="1"/>
  <c r="E6" i="1"/>
  <c r="D6" i="1"/>
  <c r="G7" i="1"/>
  <c r="F7" i="1"/>
  <c r="E7" i="1"/>
  <c r="D7" i="1"/>
  <c r="C7" i="1"/>
  <c r="B7" i="1"/>
  <c r="C6" i="1"/>
  <c r="B6" i="1"/>
  <c r="E4" i="1" l="1"/>
  <c r="G4" i="1"/>
  <c r="G8" i="1"/>
  <c r="C5" i="1" l="1"/>
  <c r="D5" i="1"/>
  <c r="E5" i="1"/>
  <c r="F5" i="1"/>
  <c r="G5" i="1"/>
  <c r="B5" i="1"/>
  <c r="F3" i="1" l="1"/>
  <c r="D3" i="1"/>
  <c r="F2" i="1"/>
  <c r="D2" i="1"/>
  <c r="C8" i="1"/>
  <c r="E8" i="1"/>
  <c r="B8" i="1"/>
  <c r="C4" i="1"/>
  <c r="B4" i="1"/>
  <c r="C3" i="1"/>
  <c r="E3" i="1"/>
  <c r="G3" i="1"/>
  <c r="C2" i="1"/>
  <c r="E2" i="1"/>
  <c r="G2" i="1"/>
  <c r="B2" i="1"/>
  <c r="B3" i="1"/>
</calcChain>
</file>

<file path=xl/sharedStrings.xml><?xml version="1.0" encoding="utf-8"?>
<sst xmlns="http://schemas.openxmlformats.org/spreadsheetml/2006/main" count="14" uniqueCount="14">
  <si>
    <t>Customer Index</t>
  </si>
  <si>
    <t>Customer Number</t>
  </si>
  <si>
    <t>Arrival Time</t>
  </si>
  <si>
    <t>Interarrival Time (s)</t>
  </si>
  <si>
    <t xml:space="preserve">Departure Time </t>
  </si>
  <si>
    <t>Lead Time (s)</t>
  </si>
  <si>
    <t>Max</t>
  </si>
  <si>
    <t>Min</t>
  </si>
  <si>
    <t>Mean</t>
  </si>
  <si>
    <t>Std. Dev.</t>
  </si>
  <si>
    <t>Metrics\Data</t>
  </si>
  <si>
    <t>Median</t>
  </si>
  <si>
    <t>Upper Quartile</t>
  </si>
  <si>
    <t>Lower Quartile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</si>
</sst>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19" fontId="0" fillId="0" borderId="0" xfId="0" applyNumberFormat="1"/>
    <xf numFmtId="1" fontId="0" fillId="0" borderId="0" xfId="0" applyNumberFormat="1" applyAlignment="1">
      <alignment horizontal="right"/>
    </xf>
    <xf numFmtId="1" fontId="0" fillId="0" borderId="0" xfId="0" applyNumberFormat="1"/>
    <xf numFmtId="0" fontId="2" fillId="2" borderId="0" xfId="2"/>
    <xf numFmtId="0" fontId="3" fillId="3" borderId="1" xfId="3"/>
    <xf numFmtId="19" fontId="3" fillId="3" borderId="1" xfId="3" applyNumberFormat="1"/>
    <xf numFmtId="0" fontId="1" fillId="2" borderId="0" xfId="1" applyFill="1"/>
  </cellXfs>
  <cellStyles count="4">
    <cellStyle name="Calculation" xfId="3" builtinId="22"/>
    <cellStyle name="Heading 4" xfId="1" builtinId="19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 peak</a:t>
            </a:r>
            <a:r>
              <a:rPr lang="en-US" baseline="0"/>
              <a:t> l</a:t>
            </a:r>
            <a:r>
              <a:rPr lang="en-US"/>
              <a:t>ead time </a:t>
            </a:r>
            <a:r>
              <a:rPr lang="en-US" baseline="0"/>
              <a:t>vs Customer Count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Lead time per peak period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Sheet1!$G$9:$G$57</c:f>
              <c:numCache>
                <c:formatCode>0</c:formatCode>
                <c:ptCount val="49"/>
                <c:pt idx="0">
                  <c:v>115.0000000000004</c:v>
                </c:pt>
                <c:pt idx="1">
                  <c:v>137.99999999999278</c:v>
                </c:pt>
                <c:pt idx="2">
                  <c:v>169.00000000000404</c:v>
                </c:pt>
                <c:pt idx="3">
                  <c:v>117.99999999999606</c:v>
                </c:pt>
                <c:pt idx="4">
                  <c:v>126.00000000000051</c:v>
                </c:pt>
                <c:pt idx="5">
                  <c:v>120.99999999999653</c:v>
                </c:pt>
                <c:pt idx="6">
                  <c:v>157.00000000000216</c:v>
                </c:pt>
                <c:pt idx="7">
                  <c:v>200.00000000000088</c:v>
                </c:pt>
                <c:pt idx="8">
                  <c:v>279.99999999999739</c:v>
                </c:pt>
                <c:pt idx="9">
                  <c:v>209.0000000000023</c:v>
                </c:pt>
                <c:pt idx="10">
                  <c:v>251.00000000000406</c:v>
                </c:pt>
                <c:pt idx="11">
                  <c:v>305.0000000000029</c:v>
                </c:pt>
                <c:pt idx="12">
                  <c:v>261.9999999999946</c:v>
                </c:pt>
                <c:pt idx="13">
                  <c:v>296.00000000000148</c:v>
                </c:pt>
                <c:pt idx="14">
                  <c:v>263.00000000000114</c:v>
                </c:pt>
                <c:pt idx="15">
                  <c:v>332.99999999999932</c:v>
                </c:pt>
                <c:pt idx="16">
                  <c:v>198.00000000000216</c:v>
                </c:pt>
                <c:pt idx="17">
                  <c:v>213.00000000000452</c:v>
                </c:pt>
                <c:pt idx="18">
                  <c:v>299.00000000000199</c:v>
                </c:pt>
                <c:pt idx="19">
                  <c:v>362.00000000000222</c:v>
                </c:pt>
                <c:pt idx="20">
                  <c:v>399.99999999999699</c:v>
                </c:pt>
                <c:pt idx="21">
                  <c:v>424.99999999999767</c:v>
                </c:pt>
                <c:pt idx="22">
                  <c:v>329.99999999999881</c:v>
                </c:pt>
                <c:pt idx="23">
                  <c:v>328.99999999999704</c:v>
                </c:pt>
                <c:pt idx="24">
                  <c:v>328.00000000000011</c:v>
                </c:pt>
                <c:pt idx="25">
                  <c:v>328.00000000000011</c:v>
                </c:pt>
                <c:pt idx="26">
                  <c:v>306.00000000000466</c:v>
                </c:pt>
                <c:pt idx="27">
                  <c:v>89.999999999994884</c:v>
                </c:pt>
                <c:pt idx="28">
                  <c:v>163.0000000000031</c:v>
                </c:pt>
                <c:pt idx="29">
                  <c:v>259.9999999999863</c:v>
                </c:pt>
                <c:pt idx="30">
                  <c:v>182.99999999999983</c:v>
                </c:pt>
                <c:pt idx="31">
                  <c:v>109.00000000000425</c:v>
                </c:pt>
                <c:pt idx="32">
                  <c:v>94.000000000011497</c:v>
                </c:pt>
                <c:pt idx="33">
                  <c:v>132.99999999999841</c:v>
                </c:pt>
                <c:pt idx="34">
                  <c:v>99.000000000005883</c:v>
                </c:pt>
                <c:pt idx="35">
                  <c:v>128.00000000001361</c:v>
                </c:pt>
                <c:pt idx="36">
                  <c:v>123.00000000000004</c:v>
                </c:pt>
                <c:pt idx="37">
                  <c:v>236.00000000000171</c:v>
                </c:pt>
                <c:pt idx="38">
                  <c:v>314.00000000000432</c:v>
                </c:pt>
                <c:pt idx="39">
                  <c:v>406.99999999999011</c:v>
                </c:pt>
                <c:pt idx="40">
                  <c:v>416.99999999999807</c:v>
                </c:pt>
                <c:pt idx="41">
                  <c:v>359.00000000000176</c:v>
                </c:pt>
                <c:pt idx="42">
                  <c:v>411.99999999999409</c:v>
                </c:pt>
                <c:pt idx="43">
                  <c:v>482.00000000001137</c:v>
                </c:pt>
                <c:pt idx="44">
                  <c:v>454.00000000000063</c:v>
                </c:pt>
                <c:pt idx="45">
                  <c:v>477.00000000000739</c:v>
                </c:pt>
                <c:pt idx="46">
                  <c:v>498.00000000001069</c:v>
                </c:pt>
                <c:pt idx="47">
                  <c:v>325.00000000000921</c:v>
                </c:pt>
                <c:pt idx="48">
                  <c:v>236.99999999999869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E3-40D2-A331-C0E6211F73E5}"/>
            </c:ext>
          </c:extLst>
        </c:ser>
        <c:ser>
          <c:idx val="0"/>
          <c:order val="1"/>
          <c:tx>
            <c:v>Customer count per peak period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Sheet1!$B$9:$B$57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1</c:v>
                </c:pt>
                <c:pt idx="28">
                  <c:v>2</c:v>
                </c:pt>
                <c:pt idx="29">
                  <c:v>3</c:v>
                </c:pt>
                <c:pt idx="30">
                  <c:v>4</c:v>
                </c:pt>
                <c:pt idx="31">
                  <c:v>5</c:v>
                </c:pt>
                <c:pt idx="32">
                  <c:v>6</c:v>
                </c:pt>
                <c:pt idx="33">
                  <c:v>7</c:v>
                </c:pt>
                <c:pt idx="34">
                  <c:v>8</c:v>
                </c:pt>
                <c:pt idx="35">
                  <c:v>9</c:v>
                </c:pt>
                <c:pt idx="36">
                  <c:v>10</c:v>
                </c:pt>
                <c:pt idx="37">
                  <c:v>11</c:v>
                </c:pt>
                <c:pt idx="38">
                  <c:v>12</c:v>
                </c:pt>
                <c:pt idx="39">
                  <c:v>13</c:v>
                </c:pt>
                <c:pt idx="40">
                  <c:v>14</c:v>
                </c:pt>
                <c:pt idx="41">
                  <c:v>15</c:v>
                </c:pt>
                <c:pt idx="42">
                  <c:v>16</c:v>
                </c:pt>
                <c:pt idx="43">
                  <c:v>17</c:v>
                </c:pt>
                <c:pt idx="44">
                  <c:v>18</c:v>
                </c:pt>
                <c:pt idx="45">
                  <c:v>19</c:v>
                </c:pt>
                <c:pt idx="46">
                  <c:v>20</c:v>
                </c:pt>
                <c:pt idx="47">
                  <c:v>21</c:v>
                </c:pt>
                <c:pt idx="4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E3-40D2-A331-C0E6211F7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3579704"/>
        <c:axId val="453580688"/>
      </c:lineChart>
      <c:catAx>
        <c:axId val="453579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80688"/>
        <c:crosses val="autoZero"/>
        <c:auto val="1"/>
        <c:lblAlgn val="ctr"/>
        <c:lblOffset val="100"/>
        <c:noMultiLvlLbl val="0"/>
      </c:catAx>
      <c:valAx>
        <c:axId val="45358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79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 peak queue</a:t>
            </a:r>
            <a:r>
              <a:rPr lang="en-US" baseline="0"/>
              <a:t> length vs Customer count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Customer count per peak period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Sheet1!$B$9:$B$57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1</c:v>
                </c:pt>
                <c:pt idx="28">
                  <c:v>2</c:v>
                </c:pt>
                <c:pt idx="29">
                  <c:v>3</c:v>
                </c:pt>
                <c:pt idx="30">
                  <c:v>4</c:v>
                </c:pt>
                <c:pt idx="31">
                  <c:v>5</c:v>
                </c:pt>
                <c:pt idx="32">
                  <c:v>6</c:v>
                </c:pt>
                <c:pt idx="33">
                  <c:v>7</c:v>
                </c:pt>
                <c:pt idx="34">
                  <c:v>8</c:v>
                </c:pt>
                <c:pt idx="35">
                  <c:v>9</c:v>
                </c:pt>
                <c:pt idx="36">
                  <c:v>10</c:v>
                </c:pt>
                <c:pt idx="37">
                  <c:v>11</c:v>
                </c:pt>
                <c:pt idx="38">
                  <c:v>12</c:v>
                </c:pt>
                <c:pt idx="39">
                  <c:v>13</c:v>
                </c:pt>
                <c:pt idx="40">
                  <c:v>14</c:v>
                </c:pt>
                <c:pt idx="41">
                  <c:v>15</c:v>
                </c:pt>
                <c:pt idx="42">
                  <c:v>16</c:v>
                </c:pt>
                <c:pt idx="43">
                  <c:v>17</c:v>
                </c:pt>
                <c:pt idx="44">
                  <c:v>18</c:v>
                </c:pt>
                <c:pt idx="45">
                  <c:v>19</c:v>
                </c:pt>
                <c:pt idx="46">
                  <c:v>20</c:v>
                </c:pt>
                <c:pt idx="47">
                  <c:v>21</c:v>
                </c:pt>
                <c:pt idx="4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E-4332-BCBF-14F6A0BFA838}"/>
            </c:ext>
          </c:extLst>
        </c:ser>
        <c:ser>
          <c:idx val="1"/>
          <c:order val="1"/>
          <c:tx>
            <c:v>Queue size per peak period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Sheet1!$C$9:$C$57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6</c:v>
                </c:pt>
                <c:pt idx="14">
                  <c:v>6</c:v>
                </c:pt>
                <c:pt idx="15">
                  <c:v>7</c:v>
                </c:pt>
                <c:pt idx="16">
                  <c:v>4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8</c:v>
                </c:pt>
                <c:pt idx="22">
                  <c:v>8</c:v>
                </c:pt>
                <c:pt idx="23">
                  <c:v>7</c:v>
                </c:pt>
                <c:pt idx="24">
                  <c:v>7</c:v>
                </c:pt>
                <c:pt idx="25">
                  <c:v>3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4</c:v>
                </c:pt>
                <c:pt idx="33">
                  <c:v>5</c:v>
                </c:pt>
                <c:pt idx="34">
                  <c:v>3</c:v>
                </c:pt>
                <c:pt idx="35">
                  <c:v>4</c:v>
                </c:pt>
                <c:pt idx="36">
                  <c:v>4</c:v>
                </c:pt>
                <c:pt idx="37">
                  <c:v>5</c:v>
                </c:pt>
                <c:pt idx="38">
                  <c:v>4</c:v>
                </c:pt>
                <c:pt idx="39">
                  <c:v>5</c:v>
                </c:pt>
                <c:pt idx="40">
                  <c:v>4</c:v>
                </c:pt>
                <c:pt idx="41">
                  <c:v>5</c:v>
                </c:pt>
                <c:pt idx="42">
                  <c:v>6</c:v>
                </c:pt>
                <c:pt idx="43">
                  <c:v>6</c:v>
                </c:pt>
                <c:pt idx="44">
                  <c:v>7</c:v>
                </c:pt>
                <c:pt idx="45">
                  <c:v>7</c:v>
                </c:pt>
                <c:pt idx="46">
                  <c:v>8</c:v>
                </c:pt>
                <c:pt idx="47">
                  <c:v>5</c:v>
                </c:pt>
                <c:pt idx="4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9E-4332-BCBF-14F6A0BFA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9419624"/>
        <c:axId val="449424544"/>
      </c:lineChart>
      <c:catAx>
        <c:axId val="449419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424544"/>
        <c:crosses val="autoZero"/>
        <c:auto val="1"/>
        <c:lblAlgn val="ctr"/>
        <c:lblOffset val="100"/>
        <c:noMultiLvlLbl val="0"/>
      </c:catAx>
      <c:valAx>
        <c:axId val="4494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419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 peak Interarrival time vs Customer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Interarrival times during per peak period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Sheet1!$E$9:$E$57</c:f>
              <c:numCache>
                <c:formatCode>0</c:formatCode>
                <c:ptCount val="49"/>
                <c:pt idx="0">
                  <c:v>0</c:v>
                </c:pt>
                <c:pt idx="1">
                  <c:v>15.000000000007141</c:v>
                </c:pt>
                <c:pt idx="2">
                  <c:v>26.999999999994628</c:v>
                </c:pt>
                <c:pt idx="3">
                  <c:v>150.00000000000426</c:v>
                </c:pt>
                <c:pt idx="4">
                  <c:v>8.9999999999966107</c:v>
                </c:pt>
                <c:pt idx="5">
                  <c:v>6.0000000000009379</c:v>
                </c:pt>
                <c:pt idx="6">
                  <c:v>120.99999999999653</c:v>
                </c:pt>
                <c:pt idx="7">
                  <c:v>56.000000000002359</c:v>
                </c:pt>
                <c:pt idx="8">
                  <c:v>3.0000000000052651</c:v>
                </c:pt>
                <c:pt idx="9">
                  <c:v>91.999999999993605</c:v>
                </c:pt>
                <c:pt idx="10">
                  <c:v>0</c:v>
                </c:pt>
                <c:pt idx="11">
                  <c:v>45.000000000002238</c:v>
                </c:pt>
                <c:pt idx="12">
                  <c:v>67.000000000002473</c:v>
                </c:pt>
                <c:pt idx="13">
                  <c:v>5.9999999999961418</c:v>
                </c:pt>
                <c:pt idx="14">
                  <c:v>85.999999999997456</c:v>
                </c:pt>
                <c:pt idx="15">
                  <c:v>3.0000000000052651</c:v>
                </c:pt>
                <c:pt idx="16">
                  <c:v>178.99999999999761</c:v>
                </c:pt>
                <c:pt idx="17">
                  <c:v>19.999999999996732</c:v>
                </c:pt>
                <c:pt idx="18">
                  <c:v>6.0000000000009379</c:v>
                </c:pt>
                <c:pt idx="19">
                  <c:v>5.000000000003979</c:v>
                </c:pt>
                <c:pt idx="20">
                  <c:v>2.0000000000035101</c:v>
                </c:pt>
                <c:pt idx="21">
                  <c:v>0</c:v>
                </c:pt>
                <c:pt idx="22">
                  <c:v>119.99999999999957</c:v>
                </c:pt>
                <c:pt idx="23">
                  <c:v>75.999999999999091</c:v>
                </c:pt>
                <c:pt idx="24">
                  <c:v>69.999999999998153</c:v>
                </c:pt>
                <c:pt idx="25">
                  <c:v>228.99999999999903</c:v>
                </c:pt>
                <c:pt idx="26">
                  <c:v>141.99999999999503</c:v>
                </c:pt>
                <c:pt idx="27">
                  <c:v>0</c:v>
                </c:pt>
                <c:pt idx="28">
                  <c:v>4.9999999999943867</c:v>
                </c:pt>
                <c:pt idx="29">
                  <c:v>14.000000000005386</c:v>
                </c:pt>
                <c:pt idx="30">
                  <c:v>93.999999999992312</c:v>
                </c:pt>
                <c:pt idx="31">
                  <c:v>87.000000000004007</c:v>
                </c:pt>
                <c:pt idx="32">
                  <c:v>59.999999999990195</c:v>
                </c:pt>
                <c:pt idx="33">
                  <c:v>15.000000000011937</c:v>
                </c:pt>
                <c:pt idx="34">
                  <c:v>56.999999999999318</c:v>
                </c:pt>
                <c:pt idx="35">
                  <c:v>1.9999999999939178</c:v>
                </c:pt>
                <c:pt idx="36">
                  <c:v>34.000000000002117</c:v>
                </c:pt>
                <c:pt idx="37">
                  <c:v>12.000000000001876</c:v>
                </c:pt>
                <c:pt idx="38">
                  <c:v>72.999999999998622</c:v>
                </c:pt>
                <c:pt idx="39">
                  <c:v>4.0000000000070202</c:v>
                </c:pt>
                <c:pt idx="40">
                  <c:v>37.999999999999545</c:v>
                </c:pt>
                <c:pt idx="41">
                  <c:v>94.999999999998863</c:v>
                </c:pt>
                <c:pt idx="42">
                  <c:v>1.9999999999939178</c:v>
                </c:pt>
                <c:pt idx="43">
                  <c:v>63.000000000000256</c:v>
                </c:pt>
                <c:pt idx="44">
                  <c:v>94.000000000001904</c:v>
                </c:pt>
                <c:pt idx="45">
                  <c:v>33.999999999992525</c:v>
                </c:pt>
                <c:pt idx="46">
                  <c:v>72.000000000001663</c:v>
                </c:pt>
                <c:pt idx="47">
                  <c:v>216.000000000005</c:v>
                </c:pt>
                <c:pt idx="48">
                  <c:v>153.00000000000472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36-4E46-B996-BF268FAB039A}"/>
            </c:ext>
          </c:extLst>
        </c:ser>
        <c:ser>
          <c:idx val="0"/>
          <c:order val="1"/>
          <c:tx>
            <c:v>Customer count per peak period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Sheet1!$B$9:$B$57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1</c:v>
                </c:pt>
                <c:pt idx="28">
                  <c:v>2</c:v>
                </c:pt>
                <c:pt idx="29">
                  <c:v>3</c:v>
                </c:pt>
                <c:pt idx="30">
                  <c:v>4</c:v>
                </c:pt>
                <c:pt idx="31">
                  <c:v>5</c:v>
                </c:pt>
                <c:pt idx="32">
                  <c:v>6</c:v>
                </c:pt>
                <c:pt idx="33">
                  <c:v>7</c:v>
                </c:pt>
                <c:pt idx="34">
                  <c:v>8</c:v>
                </c:pt>
                <c:pt idx="35">
                  <c:v>9</c:v>
                </c:pt>
                <c:pt idx="36">
                  <c:v>10</c:v>
                </c:pt>
                <c:pt idx="37">
                  <c:v>11</c:v>
                </c:pt>
                <c:pt idx="38">
                  <c:v>12</c:v>
                </c:pt>
                <c:pt idx="39">
                  <c:v>13</c:v>
                </c:pt>
                <c:pt idx="40">
                  <c:v>14</c:v>
                </c:pt>
                <c:pt idx="41">
                  <c:v>15</c:v>
                </c:pt>
                <c:pt idx="42">
                  <c:v>16</c:v>
                </c:pt>
                <c:pt idx="43">
                  <c:v>17</c:v>
                </c:pt>
                <c:pt idx="44">
                  <c:v>18</c:v>
                </c:pt>
                <c:pt idx="45">
                  <c:v>19</c:v>
                </c:pt>
                <c:pt idx="46">
                  <c:v>20</c:v>
                </c:pt>
                <c:pt idx="47">
                  <c:v>21</c:v>
                </c:pt>
                <c:pt idx="4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36-4E46-B996-BF268FAB03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035520"/>
        <c:axId val="536036504"/>
      </c:lineChart>
      <c:catAx>
        <c:axId val="53603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36504"/>
        <c:crosses val="autoZero"/>
        <c:auto val="1"/>
        <c:lblAlgn val="ctr"/>
        <c:lblOffset val="100"/>
        <c:noMultiLvlLbl val="0"/>
      </c:catAx>
      <c:valAx>
        <c:axId val="53603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3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Non peak lead time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Non peak lead time distribution</a:t>
          </a:r>
        </a:p>
      </cx:txPr>
    </cx:title>
    <cx:plotArea>
      <cx:plotAreaRegion>
        <cx:series layoutId="clusteredColumn" uniqueId="{D476B733-0462-4FCA-989C-68E063AD553A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Non peak interarrival time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Non peak interarrival time distribution</a:t>
          </a:r>
        </a:p>
      </cx:txPr>
    </cx:title>
    <cx:plotArea>
      <cx:plotAreaRegion>
        <cx:series layoutId="clusteredColumn" uniqueId="{BE66AB90-6097-42C0-A181-C21AAD1CE43E}">
          <cx:dataId val="0"/>
          <cx:layoutPr>
            <cx:binning intervalClosed="r">
              <cx:binSize val="3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Non peak queue length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Non peak queue length Distribution</a:t>
          </a:r>
        </a:p>
      </cx:txPr>
    </cx:title>
    <cx:plotArea>
      <cx:plotAreaRegion>
        <cx:series layoutId="clusteredColumn" uniqueId="{4AD7A783-EC9C-4080-B4A6-D7B1DF7969A9}">
          <cx:dataId val="0"/>
          <cx:layoutPr>
            <cx:binning intervalClosed="r">
              <cx:binSize val="1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579120</xdr:colOff>
      <xdr:row>0</xdr:row>
      <xdr:rowOff>175260</xdr:rowOff>
    </xdr:from>
    <xdr:to>
      <xdr:col>26</xdr:col>
      <xdr:colOff>586740</xdr:colOff>
      <xdr:row>18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1EADEEA4-FE05-48D9-8CDD-1EC5169CE5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19760" y="175260"/>
              <a:ext cx="5494020" cy="31165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605790</xdr:colOff>
      <xdr:row>18</xdr:row>
      <xdr:rowOff>163830</xdr:rowOff>
    </xdr:from>
    <xdr:to>
      <xdr:col>27</xdr:col>
      <xdr:colOff>15240</xdr:colOff>
      <xdr:row>36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585FC74B-0C9E-464F-910A-26994D2F0E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46430" y="3455670"/>
              <a:ext cx="5505450" cy="31280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7620</xdr:colOff>
      <xdr:row>37</xdr:row>
      <xdr:rowOff>0</xdr:rowOff>
    </xdr:from>
    <xdr:to>
      <xdr:col>27</xdr:col>
      <xdr:colOff>0</xdr:colOff>
      <xdr:row>54</xdr:row>
      <xdr:rowOff>7620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Chart 14">
              <a:extLst>
                <a:ext uri="{FF2B5EF4-FFF2-40B4-BE49-F238E27FC236}">
                  <a16:creationId xmlns:a16="http://schemas.microsoft.com/office/drawing/2014/main" id="{AACC18E3-7380-438B-9A38-704C3438F1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57860" y="6766560"/>
              <a:ext cx="5478780" cy="31165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1</xdr:row>
      <xdr:rowOff>3810</xdr:rowOff>
    </xdr:from>
    <xdr:to>
      <xdr:col>17</xdr:col>
      <xdr:colOff>30480</xdr:colOff>
      <xdr:row>18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FA1A71-A878-440C-B0B5-DA7E129D3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3810</xdr:colOff>
      <xdr:row>36</xdr:row>
      <xdr:rowOff>179070</xdr:rowOff>
    </xdr:from>
    <xdr:to>
      <xdr:col>17</xdr:col>
      <xdr:colOff>15240</xdr:colOff>
      <xdr:row>54</xdr:row>
      <xdr:rowOff>30480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91EBB6E-4804-431D-9C89-B450806FD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3810</xdr:colOff>
      <xdr:row>18</xdr:row>
      <xdr:rowOff>179070</xdr:rowOff>
    </xdr:from>
    <xdr:to>
      <xdr:col>16</xdr:col>
      <xdr:colOff>601980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34FBA3-1528-499B-A7CB-D6CECFB56E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53"/>
  <sheetViews>
    <sheetView tabSelected="1" topLeftCell="K3" workbookViewId="0">
      <selection activeCell="AB21" sqref="AB21"/>
    </sheetView>
  </sheetViews>
  <sheetFormatPr defaultRowHeight="14.4" x14ac:dyDescent="0.3"/>
  <cols>
    <col min="1" max="1" width="11.44140625" bestFit="1" customWidth="1"/>
    <col min="2" max="2" width="14.33203125" bestFit="1" customWidth="1"/>
    <col min="3" max="3" width="16" bestFit="1" customWidth="1"/>
    <col min="4" max="4" width="12" bestFit="1" customWidth="1"/>
    <col min="5" max="5" width="16.88671875" bestFit="1" customWidth="1"/>
    <col min="6" max="6" width="14.21875" bestFit="1" customWidth="1"/>
    <col min="7" max="7" width="12" bestFit="1" customWidth="1"/>
  </cols>
  <sheetData>
    <row r="1" spans="1:7" x14ac:dyDescent="0.3">
      <c r="A1" s="8" t="s">
        <v>10</v>
      </c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</row>
    <row r="2" spans="1:7" x14ac:dyDescent="0.3">
      <c r="A2" s="5" t="s">
        <v>6</v>
      </c>
      <c r="B2" s="6">
        <f t="shared" ref="B2:G2" si="0">MAX(B9:B353)</f>
        <v>27</v>
      </c>
      <c r="C2" s="6">
        <f t="shared" si="0"/>
        <v>8</v>
      </c>
      <c r="D2" s="7">
        <f t="shared" si="0"/>
        <v>0.75429398148148152</v>
      </c>
      <c r="E2" s="6">
        <f t="shared" si="0"/>
        <v>228.99999999999903</v>
      </c>
      <c r="F2" s="7">
        <f t="shared" si="0"/>
        <v>0.75703703703703706</v>
      </c>
      <c r="G2" s="6">
        <f t="shared" si="0"/>
        <v>498.00000000001069</v>
      </c>
    </row>
    <row r="3" spans="1:7" x14ac:dyDescent="0.3">
      <c r="A3" s="5" t="s">
        <v>7</v>
      </c>
      <c r="B3" s="6">
        <f t="shared" ref="B3:G3" si="1">MIN(B9:B353)</f>
        <v>1</v>
      </c>
      <c r="C3" s="6">
        <f t="shared" si="1"/>
        <v>1</v>
      </c>
      <c r="D3" s="7">
        <f t="shared" si="1"/>
        <v>0.46591435185185182</v>
      </c>
      <c r="E3" s="6">
        <f t="shared" si="1"/>
        <v>0</v>
      </c>
      <c r="F3" s="7">
        <f t="shared" si="1"/>
        <v>0.46724537037037034</v>
      </c>
      <c r="G3" s="6">
        <f t="shared" si="1"/>
        <v>89.999999999994884</v>
      </c>
    </row>
    <row r="4" spans="1:7" x14ac:dyDescent="0.3">
      <c r="A4" s="5" t="s">
        <v>8</v>
      </c>
      <c r="B4" s="6">
        <f>AVERAGE(B9:B353)</f>
        <v>12.877551020408163</v>
      </c>
      <c r="C4" s="6">
        <f>AVERAGE(C9:C353)</f>
        <v>4.4897959183673466</v>
      </c>
      <c r="D4" s="6"/>
      <c r="E4" s="6">
        <f>AVERAGE(E9:E353)</f>
        <v>56.306122448979565</v>
      </c>
      <c r="F4" s="6"/>
      <c r="G4" s="6">
        <f>AVERAGE(G9:G353)</f>
        <v>262.46938775510301</v>
      </c>
    </row>
    <row r="5" spans="1:7" x14ac:dyDescent="0.3">
      <c r="A5" s="5" t="s">
        <v>11</v>
      </c>
      <c r="B5" s="6">
        <f t="shared" ref="B5:G5" si="2">MEDIAN(B9:B353)</f>
        <v>13</v>
      </c>
      <c r="C5" s="6">
        <f t="shared" si="2"/>
        <v>4</v>
      </c>
      <c r="D5" s="6">
        <f t="shared" si="2"/>
        <v>0.47938657407407409</v>
      </c>
      <c r="E5" s="6">
        <f t="shared" si="2"/>
        <v>37.999999999999545</v>
      </c>
      <c r="F5" s="6">
        <f t="shared" si="2"/>
        <v>0.48318287037037039</v>
      </c>
      <c r="G5" s="6">
        <f t="shared" si="2"/>
        <v>261.9999999999946</v>
      </c>
    </row>
    <row r="6" spans="1:7" x14ac:dyDescent="0.3">
      <c r="A6" s="5" t="s">
        <v>13</v>
      </c>
      <c r="B6" s="6">
        <f t="shared" ref="B6:G6" si="3">QUARTILE(B9:B354,1)</f>
        <v>7</v>
      </c>
      <c r="C6" s="6">
        <f t="shared" si="3"/>
        <v>3</v>
      </c>
      <c r="D6" s="6">
        <f t="shared" si="3"/>
        <v>0.47275462962962966</v>
      </c>
      <c r="E6" s="6">
        <f t="shared" si="3"/>
        <v>5.9999999999961418</v>
      </c>
      <c r="F6" s="6">
        <f t="shared" si="3"/>
        <v>0.47578703703703701</v>
      </c>
      <c r="G6" s="6">
        <f t="shared" si="3"/>
        <v>157.00000000000216</v>
      </c>
    </row>
    <row r="7" spans="1:7" x14ac:dyDescent="0.3">
      <c r="A7" s="5" t="s">
        <v>12</v>
      </c>
      <c r="B7" s="6">
        <f t="shared" ref="B7:G7" si="4">QUARTILE(B9:B355,3)</f>
        <v>19</v>
      </c>
      <c r="C7" s="6">
        <f t="shared" si="4"/>
        <v>6</v>
      </c>
      <c r="D7" s="6">
        <f t="shared" si="4"/>
        <v>0.74438657407407405</v>
      </c>
      <c r="E7" s="6">
        <f t="shared" si="4"/>
        <v>87.000000000004007</v>
      </c>
      <c r="F7" s="6">
        <f t="shared" si="4"/>
        <v>0.74581018518518516</v>
      </c>
      <c r="G7" s="6">
        <f t="shared" si="4"/>
        <v>329.99999999999881</v>
      </c>
    </row>
    <row r="8" spans="1:7" x14ac:dyDescent="0.3">
      <c r="A8" s="5" t="s">
        <v>9</v>
      </c>
      <c r="B8" s="6">
        <f>_xlfn.STDEV.S(B9:B353)</f>
        <v>7.3587608022151176</v>
      </c>
      <c r="C8" s="6">
        <f>_xlfn.STDEV.S(C9:C353)</f>
        <v>1.9270276007752611</v>
      </c>
      <c r="D8" s="6"/>
      <c r="E8" s="6">
        <f>_xlfn.STDEV.S(E9:E353)</f>
        <v>59.274504103658757</v>
      </c>
      <c r="F8" s="6"/>
      <c r="G8" s="6">
        <f>_xlfn.STDEV.S(G9:G353)</f>
        <v>117.61644974960232</v>
      </c>
    </row>
    <row r="9" spans="1:7" x14ac:dyDescent="0.3">
      <c r="B9">
        <v>1</v>
      </c>
      <c r="C9" s="1">
        <v>1</v>
      </c>
      <c r="D9" s="2">
        <v>0.46591435185185182</v>
      </c>
      <c r="E9" s="3">
        <v>0</v>
      </c>
      <c r="F9" s="2">
        <v>0.46724537037037034</v>
      </c>
      <c r="G9" s="4">
        <v>115.0000000000004</v>
      </c>
    </row>
    <row r="10" spans="1:7" x14ac:dyDescent="0.3">
      <c r="B10">
        <v>2</v>
      </c>
      <c r="C10" s="1">
        <v>2</v>
      </c>
      <c r="D10" s="2">
        <v>0.46608796296296301</v>
      </c>
      <c r="E10" s="3">
        <v>15.000000000007141</v>
      </c>
      <c r="F10" s="2">
        <v>0.46768518518518515</v>
      </c>
      <c r="G10" s="4">
        <v>137.99999999999278</v>
      </c>
    </row>
    <row r="11" spans="1:7" x14ac:dyDescent="0.3">
      <c r="B11">
        <v>3</v>
      </c>
      <c r="C11" s="1">
        <v>3</v>
      </c>
      <c r="D11" s="2">
        <v>0.46640046296296295</v>
      </c>
      <c r="E11" s="3">
        <v>26.999999999994628</v>
      </c>
      <c r="F11" s="2">
        <v>0.46835648148148151</v>
      </c>
      <c r="G11" s="4">
        <v>169.00000000000404</v>
      </c>
    </row>
    <row r="12" spans="1:7" x14ac:dyDescent="0.3">
      <c r="B12">
        <v>4</v>
      </c>
      <c r="C12" s="1">
        <v>2</v>
      </c>
      <c r="D12" s="2">
        <v>0.46813657407407411</v>
      </c>
      <c r="E12" s="3">
        <v>150.00000000000426</v>
      </c>
      <c r="F12" s="2">
        <v>0.4695023148148148</v>
      </c>
      <c r="G12" s="4">
        <v>117.99999999999606</v>
      </c>
    </row>
    <row r="13" spans="1:7" x14ac:dyDescent="0.3">
      <c r="B13">
        <v>5</v>
      </c>
      <c r="C13" s="1">
        <v>3</v>
      </c>
      <c r="D13" s="2">
        <v>0.46824074074074074</v>
      </c>
      <c r="E13" s="3">
        <v>8.9999999999966107</v>
      </c>
      <c r="F13" s="2">
        <v>0.46969907407407407</v>
      </c>
      <c r="G13" s="4">
        <v>126.00000000000051</v>
      </c>
    </row>
    <row r="14" spans="1:7" x14ac:dyDescent="0.3">
      <c r="B14">
        <v>6</v>
      </c>
      <c r="C14" s="1">
        <v>4</v>
      </c>
      <c r="D14" s="2">
        <v>0.46831018518518519</v>
      </c>
      <c r="E14" s="3">
        <v>6.0000000000009379</v>
      </c>
      <c r="F14" s="2">
        <v>0.46971064814814811</v>
      </c>
      <c r="G14" s="4">
        <v>120.99999999999653</v>
      </c>
    </row>
    <row r="15" spans="1:7" x14ac:dyDescent="0.3">
      <c r="B15">
        <v>7</v>
      </c>
      <c r="C15" s="1">
        <v>1</v>
      </c>
      <c r="D15" s="2">
        <v>0.46971064814814811</v>
      </c>
      <c r="E15" s="3">
        <v>120.99999999999653</v>
      </c>
      <c r="F15" s="2">
        <v>0.47152777777777777</v>
      </c>
      <c r="G15" s="4">
        <v>157.00000000000216</v>
      </c>
    </row>
    <row r="16" spans="1:7" x14ac:dyDescent="0.3">
      <c r="B16">
        <v>8</v>
      </c>
      <c r="C16" s="1">
        <v>2</v>
      </c>
      <c r="D16" s="2">
        <v>0.47035879629629629</v>
      </c>
      <c r="E16" s="3">
        <v>56.000000000002359</v>
      </c>
      <c r="F16" s="2">
        <v>0.47267361111111111</v>
      </c>
      <c r="G16" s="4">
        <v>200.00000000000088</v>
      </c>
    </row>
    <row r="17" spans="2:7" x14ac:dyDescent="0.3">
      <c r="B17">
        <v>9</v>
      </c>
      <c r="C17" s="1">
        <v>3</v>
      </c>
      <c r="D17" s="2">
        <v>0.47039351851851857</v>
      </c>
      <c r="E17" s="3">
        <v>3.0000000000052651</v>
      </c>
      <c r="F17" s="2">
        <v>0.47363425925925928</v>
      </c>
      <c r="G17" s="4">
        <v>279.99999999999739</v>
      </c>
    </row>
    <row r="18" spans="2:7" x14ac:dyDescent="0.3">
      <c r="B18">
        <v>10</v>
      </c>
      <c r="C18" s="1">
        <v>4</v>
      </c>
      <c r="D18" s="2">
        <v>0.47145833333333331</v>
      </c>
      <c r="E18" s="3">
        <v>91.999999999993605</v>
      </c>
      <c r="F18" s="2">
        <v>0.47387731481481482</v>
      </c>
      <c r="G18" s="4">
        <v>209.0000000000023</v>
      </c>
    </row>
    <row r="19" spans="2:7" x14ac:dyDescent="0.3">
      <c r="B19">
        <v>11</v>
      </c>
      <c r="C19" s="1">
        <v>5</v>
      </c>
      <c r="D19" s="2">
        <v>0.47145833333333331</v>
      </c>
      <c r="E19" s="3">
        <v>0</v>
      </c>
      <c r="F19" s="2">
        <v>0.47436342592592595</v>
      </c>
      <c r="G19" s="4">
        <v>251.00000000000406</v>
      </c>
    </row>
    <row r="20" spans="2:7" x14ac:dyDescent="0.3">
      <c r="B20">
        <v>12</v>
      </c>
      <c r="C20" s="1">
        <v>5</v>
      </c>
      <c r="D20" s="2">
        <v>0.47197916666666667</v>
      </c>
      <c r="E20" s="3">
        <v>45.000000000002238</v>
      </c>
      <c r="F20" s="2">
        <v>0.4755092592592593</v>
      </c>
      <c r="G20" s="4">
        <v>305.0000000000029</v>
      </c>
    </row>
    <row r="21" spans="2:7" x14ac:dyDescent="0.3">
      <c r="B21">
        <v>13</v>
      </c>
      <c r="C21" s="1">
        <v>5</v>
      </c>
      <c r="D21" s="2">
        <v>0.47275462962962966</v>
      </c>
      <c r="E21" s="3">
        <v>67.000000000002473</v>
      </c>
      <c r="F21" s="2">
        <v>0.47578703703703701</v>
      </c>
      <c r="G21" s="4">
        <v>261.9999999999946</v>
      </c>
    </row>
    <row r="22" spans="2:7" x14ac:dyDescent="0.3">
      <c r="B22">
        <v>14</v>
      </c>
      <c r="C22" s="1">
        <v>6</v>
      </c>
      <c r="D22" s="2">
        <v>0.47282407407407406</v>
      </c>
      <c r="E22" s="3">
        <v>5.9999999999961418</v>
      </c>
      <c r="F22" s="2">
        <v>0.47625000000000001</v>
      </c>
      <c r="G22" s="4">
        <v>296.00000000000148</v>
      </c>
    </row>
    <row r="23" spans="2:7" x14ac:dyDescent="0.3">
      <c r="B23">
        <v>15</v>
      </c>
      <c r="C23" s="1">
        <v>6</v>
      </c>
      <c r="D23" s="2">
        <v>0.4738194444444444</v>
      </c>
      <c r="E23" s="3">
        <v>85.999999999997456</v>
      </c>
      <c r="F23" s="2">
        <v>0.4768634259259259</v>
      </c>
      <c r="G23" s="4">
        <v>263.00000000000114</v>
      </c>
    </row>
    <row r="24" spans="2:7" x14ac:dyDescent="0.3">
      <c r="B24">
        <v>16</v>
      </c>
      <c r="C24" s="1">
        <v>7</v>
      </c>
      <c r="D24" s="2">
        <v>0.47385416666666669</v>
      </c>
      <c r="E24" s="3">
        <v>3.0000000000052651</v>
      </c>
      <c r="F24" s="2">
        <v>0.47770833333333335</v>
      </c>
      <c r="G24" s="4">
        <v>332.99999999999932</v>
      </c>
    </row>
    <row r="25" spans="2:7" x14ac:dyDescent="0.3">
      <c r="B25">
        <v>17</v>
      </c>
      <c r="C25" s="1">
        <v>4</v>
      </c>
      <c r="D25" s="2">
        <v>0.47592592592592592</v>
      </c>
      <c r="E25" s="3">
        <v>178.99999999999761</v>
      </c>
      <c r="F25" s="2">
        <v>0.47821759259259261</v>
      </c>
      <c r="G25" s="4">
        <v>198.00000000000216</v>
      </c>
    </row>
    <row r="26" spans="2:7" x14ac:dyDescent="0.3">
      <c r="B26">
        <v>18</v>
      </c>
      <c r="C26" s="1">
        <v>5</v>
      </c>
      <c r="D26" s="2">
        <v>0.47615740740740736</v>
      </c>
      <c r="E26" s="3">
        <v>19.999999999996732</v>
      </c>
      <c r="F26" s="2">
        <v>0.47862268518518519</v>
      </c>
      <c r="G26" s="4">
        <v>213.00000000000452</v>
      </c>
    </row>
    <row r="27" spans="2:7" x14ac:dyDescent="0.3">
      <c r="B27">
        <v>19</v>
      </c>
      <c r="C27" s="1">
        <v>6</v>
      </c>
      <c r="D27" s="2">
        <v>0.47622685185185182</v>
      </c>
      <c r="E27" s="3">
        <v>6.0000000000009379</v>
      </c>
      <c r="F27" s="2">
        <v>0.47968749999999999</v>
      </c>
      <c r="G27" s="4">
        <v>299.00000000000199</v>
      </c>
    </row>
    <row r="28" spans="2:7" x14ac:dyDescent="0.3">
      <c r="B28">
        <v>20</v>
      </c>
      <c r="C28" s="1">
        <v>6</v>
      </c>
      <c r="D28" s="2">
        <v>0.47628472222222223</v>
      </c>
      <c r="E28" s="3">
        <v>5.000000000003979</v>
      </c>
      <c r="F28" s="2">
        <v>0.48047453703703707</v>
      </c>
      <c r="G28" s="4">
        <v>362.00000000000222</v>
      </c>
    </row>
    <row r="29" spans="2:7" x14ac:dyDescent="0.3">
      <c r="B29">
        <v>21</v>
      </c>
      <c r="C29" s="1">
        <v>7</v>
      </c>
      <c r="D29" s="2">
        <v>0.47630787037037042</v>
      </c>
      <c r="E29" s="3">
        <v>2.0000000000035101</v>
      </c>
      <c r="F29" s="2">
        <v>0.48093750000000002</v>
      </c>
      <c r="G29" s="4">
        <v>399.99999999999699</v>
      </c>
    </row>
    <row r="30" spans="2:7" x14ac:dyDescent="0.3">
      <c r="B30">
        <v>22</v>
      </c>
      <c r="C30" s="1">
        <v>8</v>
      </c>
      <c r="D30" s="2">
        <v>0.47630787037037042</v>
      </c>
      <c r="E30" s="3">
        <v>0</v>
      </c>
      <c r="F30" s="2">
        <v>0.48122685185185188</v>
      </c>
      <c r="G30" s="4">
        <v>424.99999999999767</v>
      </c>
    </row>
    <row r="31" spans="2:7" x14ac:dyDescent="0.3">
      <c r="B31">
        <v>23</v>
      </c>
      <c r="C31" s="1">
        <v>8</v>
      </c>
      <c r="D31" s="2">
        <v>0.47769675925925931</v>
      </c>
      <c r="E31" s="3">
        <v>119.99999999999957</v>
      </c>
      <c r="F31" s="2">
        <v>0.48151620370370374</v>
      </c>
      <c r="G31" s="4">
        <v>329.99999999999881</v>
      </c>
    </row>
    <row r="32" spans="2:7" x14ac:dyDescent="0.3">
      <c r="B32">
        <v>24</v>
      </c>
      <c r="C32" s="1">
        <v>7</v>
      </c>
      <c r="D32" s="2">
        <v>0.47857638888888893</v>
      </c>
      <c r="E32" s="3">
        <v>75.999999999999091</v>
      </c>
      <c r="F32" s="2">
        <v>0.48238425925925926</v>
      </c>
      <c r="G32" s="4">
        <v>328.99999999999704</v>
      </c>
    </row>
    <row r="33" spans="2:7" x14ac:dyDescent="0.3">
      <c r="B33">
        <v>25</v>
      </c>
      <c r="C33" s="1">
        <v>7</v>
      </c>
      <c r="D33" s="2">
        <v>0.47938657407407409</v>
      </c>
      <c r="E33" s="3">
        <v>69.999999999998153</v>
      </c>
      <c r="F33" s="2">
        <v>0.48318287037037039</v>
      </c>
      <c r="G33" s="4">
        <v>328.00000000000011</v>
      </c>
    </row>
    <row r="34" spans="2:7" x14ac:dyDescent="0.3">
      <c r="B34">
        <v>26</v>
      </c>
      <c r="C34" s="1">
        <v>3</v>
      </c>
      <c r="D34" s="2">
        <v>0.48203703703703704</v>
      </c>
      <c r="E34" s="3">
        <v>228.99999999999903</v>
      </c>
      <c r="F34" s="2">
        <v>0.48583333333333334</v>
      </c>
      <c r="G34" s="4">
        <v>328.00000000000011</v>
      </c>
    </row>
    <row r="35" spans="2:7" x14ac:dyDescent="0.3">
      <c r="B35">
        <v>27</v>
      </c>
      <c r="C35" s="1">
        <v>2</v>
      </c>
      <c r="D35" s="2">
        <v>0.4836805555555555</v>
      </c>
      <c r="E35" s="3">
        <v>141.99999999999503</v>
      </c>
      <c r="F35" s="2">
        <v>0.48722222222222222</v>
      </c>
      <c r="G35" s="4">
        <v>306.00000000000466</v>
      </c>
    </row>
    <row r="36" spans="2:7" x14ac:dyDescent="0.3">
      <c r="B36">
        <v>1</v>
      </c>
      <c r="C36" s="1">
        <v>1</v>
      </c>
      <c r="D36" s="2">
        <v>0.74012731481481486</v>
      </c>
      <c r="E36" s="3">
        <v>0</v>
      </c>
      <c r="F36" s="2">
        <v>0.74116898148148147</v>
      </c>
      <c r="G36" s="4">
        <v>89.999999999994884</v>
      </c>
    </row>
    <row r="37" spans="2:7" x14ac:dyDescent="0.3">
      <c r="B37">
        <v>2</v>
      </c>
      <c r="C37" s="1">
        <v>2</v>
      </c>
      <c r="D37" s="2">
        <v>0.74018518518518517</v>
      </c>
      <c r="E37" s="3">
        <v>4.9999999999943867</v>
      </c>
      <c r="F37" s="2">
        <v>0.74207175925925928</v>
      </c>
      <c r="G37" s="4">
        <v>163.0000000000031</v>
      </c>
    </row>
    <row r="38" spans="2:7" x14ac:dyDescent="0.3">
      <c r="B38">
        <v>3</v>
      </c>
      <c r="C38" s="1">
        <v>3</v>
      </c>
      <c r="D38" s="2">
        <v>0.74034722222222227</v>
      </c>
      <c r="E38" s="3">
        <v>14.000000000005386</v>
      </c>
      <c r="F38" s="2">
        <v>0.74335648148148137</v>
      </c>
      <c r="G38" s="4">
        <v>259.9999999999863</v>
      </c>
    </row>
    <row r="39" spans="2:7" x14ac:dyDescent="0.3">
      <c r="B39">
        <v>4</v>
      </c>
      <c r="C39" s="1">
        <v>3</v>
      </c>
      <c r="D39" s="2">
        <v>0.74143518518518514</v>
      </c>
      <c r="E39" s="3">
        <v>93.999999999992312</v>
      </c>
      <c r="F39" s="2">
        <v>0.7435532407407407</v>
      </c>
      <c r="G39" s="4">
        <v>182.99999999999983</v>
      </c>
    </row>
    <row r="40" spans="2:7" x14ac:dyDescent="0.3">
      <c r="B40">
        <v>5</v>
      </c>
      <c r="C40" s="1">
        <v>3</v>
      </c>
      <c r="D40" s="2">
        <v>0.74244212962962963</v>
      </c>
      <c r="E40" s="3">
        <v>87.000000000004007</v>
      </c>
      <c r="F40" s="2">
        <v>0.74370370370370376</v>
      </c>
      <c r="G40" s="4">
        <v>109.00000000000425</v>
      </c>
    </row>
    <row r="41" spans="2:7" x14ac:dyDescent="0.3">
      <c r="B41">
        <v>6</v>
      </c>
      <c r="C41" s="1">
        <v>4</v>
      </c>
      <c r="D41" s="2">
        <v>0.74313657407407396</v>
      </c>
      <c r="E41" s="3">
        <v>59.999999999990195</v>
      </c>
      <c r="F41" s="2">
        <v>0.74422453703703706</v>
      </c>
      <c r="G41" s="4">
        <v>94.000000000011497</v>
      </c>
    </row>
    <row r="42" spans="2:7" x14ac:dyDescent="0.3">
      <c r="B42">
        <v>7</v>
      </c>
      <c r="C42" s="1">
        <v>5</v>
      </c>
      <c r="D42" s="2">
        <v>0.74331018518518521</v>
      </c>
      <c r="E42" s="3">
        <v>15.000000000011937</v>
      </c>
      <c r="F42" s="2">
        <v>0.74484953703703705</v>
      </c>
      <c r="G42" s="4">
        <v>132.99999999999841</v>
      </c>
    </row>
    <row r="43" spans="2:7" x14ac:dyDescent="0.3">
      <c r="B43">
        <v>8</v>
      </c>
      <c r="C43" s="1">
        <v>3</v>
      </c>
      <c r="D43" s="2">
        <v>0.74396990740740743</v>
      </c>
      <c r="E43" s="3">
        <v>56.999999999999318</v>
      </c>
      <c r="F43" s="2">
        <v>0.74511574074074083</v>
      </c>
      <c r="G43" s="4">
        <v>99.000000000005883</v>
      </c>
    </row>
    <row r="44" spans="2:7" x14ac:dyDescent="0.3">
      <c r="B44">
        <v>9</v>
      </c>
      <c r="C44" s="1">
        <v>4</v>
      </c>
      <c r="D44" s="2">
        <v>0.7439930555555555</v>
      </c>
      <c r="E44" s="3">
        <v>1.9999999999939178</v>
      </c>
      <c r="F44" s="2">
        <v>0.74547453703703714</v>
      </c>
      <c r="G44" s="4">
        <v>128.00000000001361</v>
      </c>
    </row>
    <row r="45" spans="2:7" x14ac:dyDescent="0.3">
      <c r="B45">
        <v>10</v>
      </c>
      <c r="C45" s="1">
        <v>4</v>
      </c>
      <c r="D45" s="2">
        <v>0.74438657407407405</v>
      </c>
      <c r="E45" s="3">
        <v>34.000000000002117</v>
      </c>
      <c r="F45" s="2">
        <v>0.74581018518518516</v>
      </c>
      <c r="G45" s="4">
        <v>123.00000000000004</v>
      </c>
    </row>
    <row r="46" spans="2:7" x14ac:dyDescent="0.3">
      <c r="B46">
        <v>11</v>
      </c>
      <c r="C46" s="1">
        <v>5</v>
      </c>
      <c r="D46" s="2">
        <v>0.74452546296296296</v>
      </c>
      <c r="E46" s="3">
        <v>12.000000000001876</v>
      </c>
      <c r="F46" s="2">
        <v>0.74725694444444446</v>
      </c>
      <c r="G46" s="4">
        <v>236.00000000000171</v>
      </c>
    </row>
    <row r="47" spans="2:7" x14ac:dyDescent="0.3">
      <c r="B47">
        <v>12</v>
      </c>
      <c r="C47" s="1">
        <v>4</v>
      </c>
      <c r="D47" s="2">
        <v>0.74537037037037035</v>
      </c>
      <c r="E47" s="3">
        <v>72.999999999998622</v>
      </c>
      <c r="F47" s="2">
        <v>0.74900462962962966</v>
      </c>
      <c r="G47" s="4">
        <v>314.00000000000432</v>
      </c>
    </row>
    <row r="48" spans="2:7" x14ac:dyDescent="0.3">
      <c r="B48">
        <v>13</v>
      </c>
      <c r="C48" s="1">
        <v>5</v>
      </c>
      <c r="D48" s="2">
        <v>0.74541666666666673</v>
      </c>
      <c r="E48" s="3">
        <v>4.0000000000070202</v>
      </c>
      <c r="F48" s="2">
        <v>0.75012731481481476</v>
      </c>
      <c r="G48" s="4">
        <v>406.99999999999011</v>
      </c>
    </row>
    <row r="49" spans="2:7" x14ac:dyDescent="0.3">
      <c r="B49">
        <v>14</v>
      </c>
      <c r="C49" s="1">
        <v>4</v>
      </c>
      <c r="D49" s="2">
        <v>0.74585648148148154</v>
      </c>
      <c r="E49" s="3">
        <v>37.999999999999545</v>
      </c>
      <c r="F49" s="2">
        <v>0.7506828703703704</v>
      </c>
      <c r="G49" s="4">
        <v>416.99999999999807</v>
      </c>
    </row>
    <row r="50" spans="2:7" x14ac:dyDescent="0.3">
      <c r="B50">
        <v>15</v>
      </c>
      <c r="C50" s="1">
        <v>5</v>
      </c>
      <c r="D50" s="2">
        <v>0.74695601851851856</v>
      </c>
      <c r="E50" s="3">
        <v>94.999999999998863</v>
      </c>
      <c r="F50" s="2">
        <v>0.75111111111111117</v>
      </c>
      <c r="G50" s="4">
        <v>359.00000000000176</v>
      </c>
    </row>
    <row r="51" spans="2:7" x14ac:dyDescent="0.3">
      <c r="B51">
        <v>16</v>
      </c>
      <c r="C51" s="1">
        <v>6</v>
      </c>
      <c r="D51" s="2">
        <v>0.74697916666666664</v>
      </c>
      <c r="E51" s="3">
        <v>1.9999999999939178</v>
      </c>
      <c r="F51" s="2">
        <v>0.75174768518518509</v>
      </c>
      <c r="G51" s="4">
        <v>411.99999999999409</v>
      </c>
    </row>
    <row r="52" spans="2:7" x14ac:dyDescent="0.3">
      <c r="B52">
        <v>17</v>
      </c>
      <c r="C52" s="1">
        <v>6</v>
      </c>
      <c r="D52" s="2">
        <v>0.74770833333333331</v>
      </c>
      <c r="E52" s="3">
        <v>63.000000000000256</v>
      </c>
      <c r="F52" s="2">
        <v>0.75328703703703714</v>
      </c>
      <c r="G52" s="4">
        <v>482.00000000001137</v>
      </c>
    </row>
    <row r="53" spans="2:7" x14ac:dyDescent="0.3">
      <c r="B53">
        <v>18</v>
      </c>
      <c r="C53" s="1">
        <v>7</v>
      </c>
      <c r="D53" s="2">
        <v>0.74879629629629629</v>
      </c>
      <c r="E53" s="3">
        <v>94.000000000001904</v>
      </c>
      <c r="F53" s="2">
        <v>0.75405092592592593</v>
      </c>
      <c r="G53" s="4">
        <v>454.00000000000063</v>
      </c>
    </row>
    <row r="54" spans="2:7" x14ac:dyDescent="0.3">
      <c r="B54">
        <v>19</v>
      </c>
      <c r="C54" s="1">
        <v>7</v>
      </c>
      <c r="D54" s="2">
        <v>0.74918981481481473</v>
      </c>
      <c r="E54" s="3">
        <v>33.999999999992525</v>
      </c>
      <c r="F54" s="2">
        <v>0.75471064814814814</v>
      </c>
      <c r="G54" s="4">
        <v>477.00000000000739</v>
      </c>
    </row>
    <row r="55" spans="2:7" x14ac:dyDescent="0.3">
      <c r="B55">
        <v>20</v>
      </c>
      <c r="C55" s="1">
        <v>8</v>
      </c>
      <c r="D55" s="2">
        <v>0.75002314814814808</v>
      </c>
      <c r="E55" s="3">
        <v>72.000000000001663</v>
      </c>
      <c r="F55" s="2">
        <v>0.75578703703703709</v>
      </c>
      <c r="G55" s="4">
        <v>498.00000000001069</v>
      </c>
    </row>
    <row r="56" spans="2:7" x14ac:dyDescent="0.3">
      <c r="B56">
        <v>21</v>
      </c>
      <c r="C56" s="1">
        <v>5</v>
      </c>
      <c r="D56" s="2">
        <v>0.75252314814814814</v>
      </c>
      <c r="E56" s="3">
        <v>216.000000000005</v>
      </c>
      <c r="F56" s="2">
        <v>0.75628472222222232</v>
      </c>
      <c r="G56" s="4">
        <v>325.00000000000921</v>
      </c>
    </row>
    <row r="57" spans="2:7" x14ac:dyDescent="0.3">
      <c r="B57">
        <v>22</v>
      </c>
      <c r="C57" s="1">
        <v>4</v>
      </c>
      <c r="D57" s="2">
        <v>0.75429398148148152</v>
      </c>
      <c r="E57" s="3">
        <v>153.00000000000472</v>
      </c>
      <c r="F57" s="2">
        <v>0.75703703703703706</v>
      </c>
      <c r="G57" s="4">
        <v>236.99999999999869</v>
      </c>
    </row>
    <row r="58" spans="2:7" x14ac:dyDescent="0.3">
      <c r="C58" s="1"/>
      <c r="D58" s="2"/>
      <c r="E58" s="3"/>
      <c r="F58" s="2"/>
      <c r="G58" s="4"/>
    </row>
    <row r="59" spans="2:7" x14ac:dyDescent="0.3">
      <c r="C59" s="1"/>
      <c r="D59" s="2"/>
      <c r="E59" s="3"/>
      <c r="F59" s="2"/>
      <c r="G59" s="4"/>
    </row>
    <row r="60" spans="2:7" x14ac:dyDescent="0.3">
      <c r="C60" s="1"/>
      <c r="D60" s="2"/>
      <c r="E60" s="3"/>
      <c r="F60" s="2"/>
      <c r="G60" s="4"/>
    </row>
    <row r="61" spans="2:7" x14ac:dyDescent="0.3">
      <c r="C61" s="1"/>
      <c r="D61" s="2"/>
      <c r="E61" s="3"/>
      <c r="F61" s="2"/>
      <c r="G61" s="4"/>
    </row>
    <row r="62" spans="2:7" x14ac:dyDescent="0.3">
      <c r="C62" s="1"/>
      <c r="D62" s="2"/>
      <c r="E62" s="3"/>
      <c r="F62" s="2"/>
      <c r="G62" s="4"/>
    </row>
    <row r="63" spans="2:7" x14ac:dyDescent="0.3">
      <c r="C63" s="1"/>
      <c r="D63" s="2"/>
      <c r="E63" s="3"/>
      <c r="F63" s="2"/>
      <c r="G63" s="4"/>
    </row>
    <row r="64" spans="2:7" x14ac:dyDescent="0.3">
      <c r="C64" s="1"/>
      <c r="D64" s="2"/>
      <c r="E64" s="3"/>
      <c r="F64" s="2"/>
      <c r="G64" s="4"/>
    </row>
    <row r="65" spans="3:7" x14ac:dyDescent="0.3">
      <c r="C65" s="1"/>
      <c r="D65" s="2"/>
      <c r="E65" s="3"/>
      <c r="F65" s="2"/>
      <c r="G65" s="4"/>
    </row>
    <row r="66" spans="3:7" x14ac:dyDescent="0.3">
      <c r="C66" s="1"/>
      <c r="D66" s="2"/>
      <c r="E66" s="3"/>
      <c r="F66" s="2"/>
      <c r="G66" s="4"/>
    </row>
    <row r="67" spans="3:7" x14ac:dyDescent="0.3">
      <c r="C67" s="1"/>
      <c r="D67" s="2"/>
      <c r="E67" s="3"/>
      <c r="F67" s="2"/>
      <c r="G67" s="4"/>
    </row>
    <row r="68" spans="3:7" x14ac:dyDescent="0.3">
      <c r="C68" s="1"/>
      <c r="D68" s="2"/>
      <c r="E68" s="3"/>
      <c r="F68" s="2"/>
      <c r="G68" s="4"/>
    </row>
    <row r="69" spans="3:7" x14ac:dyDescent="0.3">
      <c r="C69" s="1"/>
      <c r="D69" s="2"/>
      <c r="E69" s="3"/>
      <c r="F69" s="2"/>
      <c r="G69" s="4"/>
    </row>
    <row r="70" spans="3:7" x14ac:dyDescent="0.3">
      <c r="C70" s="1"/>
      <c r="D70" s="2"/>
      <c r="E70" s="3"/>
      <c r="F70" s="2"/>
      <c r="G70" s="4"/>
    </row>
    <row r="71" spans="3:7" x14ac:dyDescent="0.3">
      <c r="C71" s="1"/>
      <c r="D71" s="2"/>
      <c r="E71" s="3"/>
      <c r="F71" s="2"/>
      <c r="G71" s="4"/>
    </row>
    <row r="72" spans="3:7" x14ac:dyDescent="0.3">
      <c r="C72" s="1"/>
      <c r="D72" s="2"/>
      <c r="E72" s="3"/>
      <c r="F72" s="2"/>
      <c r="G72" s="4"/>
    </row>
    <row r="73" spans="3:7" x14ac:dyDescent="0.3">
      <c r="C73" s="1"/>
      <c r="D73" s="2"/>
      <c r="E73" s="3"/>
      <c r="F73" s="2"/>
      <c r="G73" s="4"/>
    </row>
    <row r="74" spans="3:7" x14ac:dyDescent="0.3">
      <c r="C74" s="1"/>
      <c r="D74" s="2"/>
      <c r="E74" s="3"/>
      <c r="F74" s="2"/>
      <c r="G74" s="4"/>
    </row>
    <row r="75" spans="3:7" x14ac:dyDescent="0.3">
      <c r="C75" s="1"/>
      <c r="D75" s="2"/>
      <c r="E75" s="3"/>
      <c r="F75" s="2"/>
      <c r="G75" s="4"/>
    </row>
    <row r="76" spans="3:7" x14ac:dyDescent="0.3">
      <c r="C76" s="1"/>
      <c r="D76" s="2"/>
      <c r="E76" s="3"/>
      <c r="F76" s="2"/>
      <c r="G76" s="4"/>
    </row>
    <row r="77" spans="3:7" x14ac:dyDescent="0.3">
      <c r="C77" s="1"/>
      <c r="D77" s="2"/>
      <c r="E77" s="3"/>
      <c r="F77" s="2"/>
      <c r="G77" s="4"/>
    </row>
    <row r="78" spans="3:7" x14ac:dyDescent="0.3">
      <c r="C78" s="1"/>
      <c r="D78" s="2"/>
      <c r="E78" s="3"/>
      <c r="F78" s="2"/>
      <c r="G78" s="4"/>
    </row>
    <row r="79" spans="3:7" x14ac:dyDescent="0.3">
      <c r="C79" s="1"/>
      <c r="D79" s="2"/>
      <c r="E79" s="3"/>
      <c r="F79" s="2"/>
      <c r="G79" s="4"/>
    </row>
    <row r="80" spans="3:7" x14ac:dyDescent="0.3">
      <c r="C80" s="1"/>
      <c r="D80" s="2"/>
      <c r="E80" s="3"/>
      <c r="F80" s="2"/>
      <c r="G80" s="4"/>
    </row>
    <row r="81" spans="3:7" x14ac:dyDescent="0.3">
      <c r="C81" s="1"/>
      <c r="D81" s="2"/>
      <c r="E81" s="3"/>
      <c r="F81" s="2"/>
      <c r="G81" s="4"/>
    </row>
    <row r="82" spans="3:7" x14ac:dyDescent="0.3">
      <c r="C82" s="1"/>
      <c r="D82" s="2"/>
      <c r="E82" s="3"/>
      <c r="F82" s="2"/>
      <c r="G82" s="4"/>
    </row>
    <row r="83" spans="3:7" x14ac:dyDescent="0.3">
      <c r="C83" s="1"/>
      <c r="D83" s="2"/>
      <c r="E83" s="3"/>
      <c r="F83" s="2"/>
      <c r="G83" s="4"/>
    </row>
    <row r="84" spans="3:7" x14ac:dyDescent="0.3">
      <c r="C84" s="1"/>
      <c r="D84" s="2"/>
      <c r="E84" s="3"/>
      <c r="F84" s="2"/>
      <c r="G84" s="4"/>
    </row>
    <row r="85" spans="3:7" x14ac:dyDescent="0.3">
      <c r="C85" s="1"/>
      <c r="D85" s="2"/>
      <c r="E85" s="3"/>
      <c r="F85" s="2"/>
      <c r="G85" s="4"/>
    </row>
    <row r="86" spans="3:7" x14ac:dyDescent="0.3">
      <c r="C86" s="1"/>
      <c r="D86" s="2"/>
      <c r="E86" s="3"/>
      <c r="F86" s="2"/>
      <c r="G86" s="4"/>
    </row>
    <row r="87" spans="3:7" x14ac:dyDescent="0.3">
      <c r="C87" s="1"/>
      <c r="D87" s="2"/>
      <c r="E87" s="3"/>
      <c r="F87" s="2"/>
      <c r="G87" s="4"/>
    </row>
    <row r="88" spans="3:7" x14ac:dyDescent="0.3">
      <c r="C88" s="1"/>
      <c r="D88" s="2"/>
      <c r="E88" s="3"/>
      <c r="F88" s="2"/>
      <c r="G88" s="4"/>
    </row>
    <row r="89" spans="3:7" x14ac:dyDescent="0.3">
      <c r="C89" s="1"/>
      <c r="D89" s="2"/>
      <c r="E89" s="3"/>
      <c r="F89" s="2"/>
      <c r="G89" s="4"/>
    </row>
    <row r="90" spans="3:7" x14ac:dyDescent="0.3">
      <c r="C90" s="1"/>
      <c r="D90" s="2"/>
      <c r="E90" s="3"/>
      <c r="F90" s="2"/>
      <c r="G90" s="4"/>
    </row>
    <row r="91" spans="3:7" x14ac:dyDescent="0.3">
      <c r="C91" s="1"/>
      <c r="D91" s="2"/>
      <c r="E91" s="3"/>
      <c r="F91" s="2"/>
      <c r="G91" s="4"/>
    </row>
    <row r="92" spans="3:7" x14ac:dyDescent="0.3">
      <c r="C92" s="1"/>
      <c r="D92" s="2"/>
      <c r="E92" s="3"/>
      <c r="F92" s="2"/>
      <c r="G92" s="4"/>
    </row>
    <row r="93" spans="3:7" x14ac:dyDescent="0.3">
      <c r="C93" s="1"/>
      <c r="D93" s="2"/>
      <c r="E93" s="3"/>
      <c r="F93" s="2"/>
      <c r="G93" s="4"/>
    </row>
    <row r="94" spans="3:7" x14ac:dyDescent="0.3">
      <c r="C94" s="1"/>
      <c r="D94" s="2"/>
      <c r="E94" s="3"/>
      <c r="F94" s="2"/>
      <c r="G94" s="4"/>
    </row>
    <row r="95" spans="3:7" x14ac:dyDescent="0.3">
      <c r="C95" s="1"/>
      <c r="D95" s="2"/>
      <c r="E95" s="3"/>
      <c r="F95" s="2"/>
      <c r="G95" s="4"/>
    </row>
    <row r="96" spans="3:7" x14ac:dyDescent="0.3">
      <c r="C96" s="1"/>
      <c r="D96" s="2"/>
      <c r="E96" s="3"/>
      <c r="F96" s="2"/>
      <c r="G96" s="4"/>
    </row>
    <row r="97" spans="3:7" x14ac:dyDescent="0.3">
      <c r="C97" s="1"/>
      <c r="D97" s="2"/>
      <c r="E97" s="3"/>
      <c r="F97" s="2"/>
      <c r="G97" s="4"/>
    </row>
    <row r="98" spans="3:7" x14ac:dyDescent="0.3">
      <c r="C98" s="1"/>
      <c r="D98" s="2"/>
      <c r="E98" s="3"/>
      <c r="F98" s="2"/>
      <c r="G98" s="4"/>
    </row>
    <row r="99" spans="3:7" x14ac:dyDescent="0.3">
      <c r="C99" s="1"/>
      <c r="D99" s="2"/>
      <c r="E99" s="3"/>
      <c r="F99" s="2"/>
      <c r="G99" s="4"/>
    </row>
    <row r="100" spans="3:7" x14ac:dyDescent="0.3">
      <c r="C100" s="1"/>
      <c r="D100" s="2"/>
      <c r="E100" s="3"/>
      <c r="F100" s="2"/>
      <c r="G100" s="4"/>
    </row>
    <row r="101" spans="3:7" x14ac:dyDescent="0.3">
      <c r="C101" s="1"/>
      <c r="D101" s="2"/>
      <c r="E101" s="3"/>
      <c r="F101" s="2"/>
      <c r="G101" s="4"/>
    </row>
    <row r="102" spans="3:7" x14ac:dyDescent="0.3">
      <c r="C102" s="1"/>
      <c r="D102" s="2"/>
      <c r="E102" s="3"/>
      <c r="F102" s="2"/>
      <c r="G102" s="4"/>
    </row>
    <row r="103" spans="3:7" x14ac:dyDescent="0.3">
      <c r="C103" s="1"/>
      <c r="D103" s="2"/>
      <c r="E103" s="3"/>
      <c r="F103" s="2"/>
      <c r="G103" s="4"/>
    </row>
    <row r="104" spans="3:7" x14ac:dyDescent="0.3">
      <c r="C104" s="1"/>
      <c r="D104" s="2"/>
      <c r="E104" s="3"/>
      <c r="F104" s="2"/>
      <c r="G104" s="4"/>
    </row>
    <row r="105" spans="3:7" x14ac:dyDescent="0.3">
      <c r="C105" s="1"/>
      <c r="D105" s="2"/>
      <c r="E105" s="3"/>
      <c r="F105" s="2"/>
      <c r="G105" s="4"/>
    </row>
    <row r="106" spans="3:7" x14ac:dyDescent="0.3">
      <c r="C106" s="1"/>
      <c r="D106" s="2"/>
      <c r="E106" s="3"/>
      <c r="F106" s="2"/>
      <c r="G106" s="4"/>
    </row>
    <row r="107" spans="3:7" x14ac:dyDescent="0.3">
      <c r="C107" s="1"/>
      <c r="D107" s="2"/>
      <c r="E107" s="3"/>
      <c r="F107" s="2"/>
      <c r="G107" s="4"/>
    </row>
    <row r="108" spans="3:7" x14ac:dyDescent="0.3">
      <c r="C108" s="1"/>
      <c r="D108" s="2"/>
      <c r="E108" s="3"/>
      <c r="F108" s="2"/>
      <c r="G108" s="4"/>
    </row>
    <row r="109" spans="3:7" x14ac:dyDescent="0.3">
      <c r="C109" s="1"/>
      <c r="D109" s="2"/>
      <c r="E109" s="3"/>
      <c r="F109" s="2"/>
      <c r="G109" s="4"/>
    </row>
    <row r="110" spans="3:7" x14ac:dyDescent="0.3">
      <c r="C110" s="1"/>
      <c r="D110" s="2"/>
      <c r="E110" s="3"/>
      <c r="F110" s="2"/>
      <c r="G110" s="4"/>
    </row>
    <row r="111" spans="3:7" x14ac:dyDescent="0.3">
      <c r="C111" s="1"/>
      <c r="D111" s="2"/>
      <c r="E111" s="3"/>
      <c r="F111" s="2"/>
      <c r="G111" s="4"/>
    </row>
    <row r="112" spans="3:7" x14ac:dyDescent="0.3">
      <c r="C112" s="1"/>
      <c r="D112" s="2"/>
      <c r="E112" s="3"/>
      <c r="F112" s="2"/>
      <c r="G112" s="4"/>
    </row>
    <row r="113" spans="3:7" x14ac:dyDescent="0.3">
      <c r="C113" s="1"/>
      <c r="D113" s="2"/>
      <c r="E113" s="3"/>
      <c r="F113" s="2"/>
      <c r="G113" s="4"/>
    </row>
    <row r="114" spans="3:7" x14ac:dyDescent="0.3">
      <c r="C114" s="1"/>
      <c r="D114" s="2"/>
      <c r="E114" s="3"/>
      <c r="F114" s="2"/>
      <c r="G114" s="4"/>
    </row>
    <row r="115" spans="3:7" x14ac:dyDescent="0.3">
      <c r="C115" s="1"/>
      <c r="D115" s="2"/>
      <c r="E115" s="3"/>
      <c r="F115" s="2"/>
      <c r="G115" s="4"/>
    </row>
    <row r="116" spans="3:7" x14ac:dyDescent="0.3">
      <c r="C116" s="1"/>
      <c r="D116" s="2"/>
      <c r="E116" s="3"/>
      <c r="F116" s="2"/>
      <c r="G116" s="4"/>
    </row>
    <row r="117" spans="3:7" x14ac:dyDescent="0.3">
      <c r="C117" s="1"/>
      <c r="D117" s="2"/>
      <c r="E117" s="3"/>
      <c r="F117" s="2"/>
      <c r="G117" s="4"/>
    </row>
    <row r="118" spans="3:7" x14ac:dyDescent="0.3">
      <c r="C118" s="1"/>
      <c r="D118" s="2"/>
      <c r="E118" s="3"/>
      <c r="F118" s="2"/>
      <c r="G118" s="4"/>
    </row>
    <row r="119" spans="3:7" x14ac:dyDescent="0.3">
      <c r="C119" s="1"/>
      <c r="D119" s="2"/>
      <c r="E119" s="3"/>
      <c r="F119" s="2"/>
      <c r="G119" s="4"/>
    </row>
    <row r="120" spans="3:7" x14ac:dyDescent="0.3">
      <c r="C120" s="1"/>
      <c r="D120" s="2"/>
      <c r="E120" s="3"/>
      <c r="F120" s="2"/>
      <c r="G120" s="4"/>
    </row>
    <row r="170" spans="3:7" x14ac:dyDescent="0.3">
      <c r="C170" s="1"/>
      <c r="D170" s="2"/>
      <c r="E170" s="3"/>
      <c r="F170" s="2"/>
      <c r="G170" s="4"/>
    </row>
    <row r="171" spans="3:7" x14ac:dyDescent="0.3">
      <c r="C171" s="1"/>
      <c r="D171" s="2"/>
      <c r="E171" s="3"/>
      <c r="F171" s="2"/>
      <c r="G171" s="4"/>
    </row>
    <row r="172" spans="3:7" x14ac:dyDescent="0.3">
      <c r="C172" s="1"/>
      <c r="D172" s="2"/>
      <c r="E172" s="3"/>
      <c r="F172" s="2"/>
      <c r="G172" s="4"/>
    </row>
    <row r="173" spans="3:7" x14ac:dyDescent="0.3">
      <c r="C173" s="1"/>
      <c r="D173" s="2"/>
      <c r="E173" s="3"/>
      <c r="F173" s="2"/>
      <c r="G173" s="4"/>
    </row>
    <row r="174" spans="3:7" x14ac:dyDescent="0.3">
      <c r="C174" s="1"/>
      <c r="D174" s="2"/>
      <c r="E174" s="3"/>
      <c r="F174" s="2"/>
      <c r="G174" s="4"/>
    </row>
    <row r="175" spans="3:7" x14ac:dyDescent="0.3">
      <c r="C175" s="1"/>
      <c r="D175" s="2"/>
      <c r="E175" s="3"/>
      <c r="F175" s="2"/>
      <c r="G175" s="4"/>
    </row>
    <row r="176" spans="3:7" x14ac:dyDescent="0.3">
      <c r="C176" s="1"/>
      <c r="D176" s="2"/>
      <c r="E176" s="3"/>
      <c r="F176" s="2"/>
      <c r="G176" s="4"/>
    </row>
    <row r="177" spans="3:7" x14ac:dyDescent="0.3">
      <c r="C177" s="1"/>
      <c r="D177" s="2"/>
      <c r="E177" s="3"/>
      <c r="F177" s="2"/>
      <c r="G177" s="4"/>
    </row>
    <row r="178" spans="3:7" x14ac:dyDescent="0.3">
      <c r="C178" s="1"/>
      <c r="D178" s="2"/>
      <c r="E178" s="3"/>
      <c r="F178" s="2"/>
      <c r="G178" s="4"/>
    </row>
    <row r="179" spans="3:7" x14ac:dyDescent="0.3">
      <c r="C179" s="1"/>
      <c r="D179" s="2"/>
      <c r="E179" s="3"/>
      <c r="F179" s="2"/>
      <c r="G179" s="4"/>
    </row>
    <row r="180" spans="3:7" x14ac:dyDescent="0.3">
      <c r="C180" s="1"/>
      <c r="D180" s="2"/>
      <c r="E180" s="3"/>
      <c r="F180" s="2"/>
      <c r="G180" s="4"/>
    </row>
    <row r="181" spans="3:7" x14ac:dyDescent="0.3">
      <c r="C181" s="1"/>
      <c r="D181" s="2"/>
      <c r="E181" s="3"/>
      <c r="F181" s="2"/>
      <c r="G181" s="4"/>
    </row>
    <row r="182" spans="3:7" x14ac:dyDescent="0.3">
      <c r="C182" s="1"/>
      <c r="D182" s="2"/>
      <c r="E182" s="3"/>
      <c r="F182" s="2"/>
      <c r="G182" s="4"/>
    </row>
    <row r="183" spans="3:7" x14ac:dyDescent="0.3">
      <c r="C183" s="1"/>
      <c r="D183" s="2"/>
      <c r="E183" s="3"/>
      <c r="F183" s="2"/>
      <c r="G183" s="4"/>
    </row>
    <row r="184" spans="3:7" x14ac:dyDescent="0.3">
      <c r="C184" s="1"/>
      <c r="D184" s="2"/>
      <c r="E184" s="3"/>
      <c r="F184" s="2"/>
      <c r="G184" s="4"/>
    </row>
    <row r="185" spans="3:7" x14ac:dyDescent="0.3">
      <c r="C185" s="1"/>
      <c r="D185" s="2"/>
      <c r="E185" s="3"/>
      <c r="F185" s="2"/>
      <c r="G185" s="4"/>
    </row>
    <row r="208" spans="3:7" x14ac:dyDescent="0.3">
      <c r="C208" s="1"/>
      <c r="D208" s="2"/>
      <c r="E208" s="3"/>
      <c r="F208" s="2"/>
      <c r="G208" s="4"/>
    </row>
    <row r="209" spans="3:7" x14ac:dyDescent="0.3">
      <c r="C209" s="1"/>
      <c r="D209" s="2"/>
      <c r="E209" s="3"/>
      <c r="F209" s="2"/>
      <c r="G209" s="4"/>
    </row>
    <row r="210" spans="3:7" x14ac:dyDescent="0.3">
      <c r="C210" s="1"/>
      <c r="D210" s="2"/>
      <c r="E210" s="3"/>
      <c r="F210" s="2"/>
      <c r="G210" s="4"/>
    </row>
    <row r="211" spans="3:7" x14ac:dyDescent="0.3">
      <c r="C211" s="1"/>
      <c r="D211" s="2"/>
      <c r="E211" s="3"/>
      <c r="F211" s="2"/>
      <c r="G211" s="4"/>
    </row>
    <row r="212" spans="3:7" x14ac:dyDescent="0.3">
      <c r="C212" s="1"/>
      <c r="D212" s="2"/>
      <c r="E212" s="3"/>
      <c r="F212" s="2"/>
      <c r="G212" s="4"/>
    </row>
    <row r="213" spans="3:7" x14ac:dyDescent="0.3">
      <c r="C213" s="1"/>
      <c r="D213" s="2"/>
      <c r="E213" s="3"/>
      <c r="F213" s="2"/>
      <c r="G213" s="4"/>
    </row>
    <row r="214" spans="3:7" x14ac:dyDescent="0.3">
      <c r="C214" s="1"/>
      <c r="D214" s="2"/>
      <c r="E214" s="3"/>
      <c r="F214" s="2"/>
      <c r="G214" s="4"/>
    </row>
    <row r="215" spans="3:7" x14ac:dyDescent="0.3">
      <c r="C215" s="1"/>
      <c r="D215" s="2"/>
      <c r="E215" s="3"/>
      <c r="F215" s="2"/>
      <c r="G215" s="4"/>
    </row>
    <row r="216" spans="3:7" x14ac:dyDescent="0.3">
      <c r="C216" s="1"/>
      <c r="D216" s="2"/>
      <c r="E216" s="3"/>
      <c r="F216" s="2"/>
      <c r="G216" s="4"/>
    </row>
    <row r="217" spans="3:7" x14ac:dyDescent="0.3">
      <c r="C217" s="1"/>
      <c r="D217" s="2"/>
      <c r="E217" s="3"/>
      <c r="F217" s="2"/>
      <c r="G217" s="4"/>
    </row>
    <row r="218" spans="3:7" x14ac:dyDescent="0.3">
      <c r="C218" s="1"/>
      <c r="D218" s="2"/>
      <c r="E218" s="3"/>
      <c r="F218" s="2"/>
      <c r="G218" s="4"/>
    </row>
    <row r="219" spans="3:7" x14ac:dyDescent="0.3">
      <c r="C219" s="1"/>
      <c r="D219" s="2"/>
      <c r="E219" s="3"/>
      <c r="F219" s="2"/>
      <c r="G219" s="4"/>
    </row>
    <row r="220" spans="3:7" x14ac:dyDescent="0.3">
      <c r="C220" s="1"/>
      <c r="D220" s="2"/>
      <c r="E220" s="3"/>
      <c r="F220" s="2"/>
      <c r="G220" s="4"/>
    </row>
    <row r="221" spans="3:7" x14ac:dyDescent="0.3">
      <c r="C221" s="1"/>
      <c r="D221" s="2"/>
      <c r="E221" s="3"/>
      <c r="F221" s="2"/>
      <c r="G221" s="4"/>
    </row>
    <row r="222" spans="3:7" x14ac:dyDescent="0.3">
      <c r="C222" s="1"/>
      <c r="D222" s="2"/>
      <c r="E222" s="3"/>
      <c r="F222" s="2"/>
      <c r="G222" s="4"/>
    </row>
    <row r="223" spans="3:7" x14ac:dyDescent="0.3">
      <c r="C223" s="1"/>
      <c r="D223" s="2"/>
      <c r="E223" s="3"/>
      <c r="F223" s="2"/>
      <c r="G223" s="4"/>
    </row>
    <row r="224" spans="3:7" x14ac:dyDescent="0.3">
      <c r="C224" s="1"/>
      <c r="D224" s="2"/>
      <c r="E224" s="3"/>
      <c r="F224" s="2"/>
      <c r="G224" s="4"/>
    </row>
    <row r="225" spans="3:7" x14ac:dyDescent="0.3">
      <c r="C225" s="1"/>
      <c r="D225" s="2"/>
      <c r="E225" s="3"/>
      <c r="F225" s="2"/>
      <c r="G225" s="4"/>
    </row>
    <row r="226" spans="3:7" x14ac:dyDescent="0.3">
      <c r="C226" s="1"/>
      <c r="D226" s="2"/>
      <c r="E226" s="3"/>
      <c r="F226" s="2"/>
      <c r="G226" s="4"/>
    </row>
    <row r="227" spans="3:7" x14ac:dyDescent="0.3">
      <c r="C227" s="1"/>
      <c r="D227" s="2"/>
      <c r="E227" s="3"/>
      <c r="F227" s="2"/>
      <c r="G227" s="4"/>
    </row>
    <row r="228" spans="3:7" x14ac:dyDescent="0.3">
      <c r="C228" s="1"/>
      <c r="D228" s="2"/>
      <c r="E228" s="3"/>
      <c r="F228" s="2"/>
      <c r="G228" s="4"/>
    </row>
    <row r="229" spans="3:7" x14ac:dyDescent="0.3">
      <c r="C229" s="1"/>
      <c r="D229" s="2"/>
      <c r="E229" s="3"/>
      <c r="F229" s="2"/>
      <c r="G229" s="4"/>
    </row>
    <row r="230" spans="3:7" x14ac:dyDescent="0.3">
      <c r="C230" s="1"/>
      <c r="D230" s="2"/>
      <c r="E230" s="3"/>
      <c r="F230" s="2"/>
      <c r="G230" s="4"/>
    </row>
    <row r="231" spans="3:7" x14ac:dyDescent="0.3">
      <c r="C231" s="1"/>
      <c r="D231" s="2"/>
      <c r="E231" s="3"/>
      <c r="F231" s="2"/>
      <c r="G231" s="4"/>
    </row>
    <row r="232" spans="3:7" x14ac:dyDescent="0.3">
      <c r="C232" s="1"/>
      <c r="D232" s="2"/>
      <c r="E232" s="3"/>
      <c r="F232" s="2"/>
      <c r="G232" s="4"/>
    </row>
    <row r="233" spans="3:7" x14ac:dyDescent="0.3">
      <c r="C233" s="1"/>
      <c r="D233" s="2"/>
      <c r="E233" s="3"/>
      <c r="F233" s="2"/>
      <c r="G233" s="4"/>
    </row>
    <row r="234" spans="3:7" x14ac:dyDescent="0.3">
      <c r="C234" s="1"/>
      <c r="D234" s="2"/>
      <c r="E234" s="3"/>
      <c r="F234" s="2"/>
      <c r="G234" s="4"/>
    </row>
    <row r="235" spans="3:7" x14ac:dyDescent="0.3">
      <c r="C235" s="1"/>
      <c r="D235" s="2"/>
      <c r="E235" s="3"/>
      <c r="F235" s="2"/>
      <c r="G235" s="4"/>
    </row>
    <row r="236" spans="3:7" x14ac:dyDescent="0.3">
      <c r="C236" s="1"/>
      <c r="D236" s="2"/>
      <c r="E236" s="3"/>
      <c r="F236" s="2"/>
      <c r="G236" s="4"/>
    </row>
    <row r="237" spans="3:7" x14ac:dyDescent="0.3">
      <c r="C237" s="1"/>
      <c r="D237" s="2"/>
      <c r="E237" s="3"/>
      <c r="F237" s="2"/>
      <c r="G237" s="4"/>
    </row>
    <row r="238" spans="3:7" x14ac:dyDescent="0.3">
      <c r="C238" s="1"/>
      <c r="D238" s="2"/>
      <c r="E238" s="3"/>
      <c r="F238" s="2"/>
      <c r="G238" s="4"/>
    </row>
    <row r="239" spans="3:7" x14ac:dyDescent="0.3">
      <c r="C239" s="1"/>
      <c r="D239" s="2"/>
      <c r="E239" s="3"/>
      <c r="F239" s="2"/>
      <c r="G239" s="4"/>
    </row>
    <row r="240" spans="3:7" x14ac:dyDescent="0.3">
      <c r="C240" s="1"/>
      <c r="D240" s="2"/>
      <c r="E240" s="3"/>
      <c r="F240" s="2"/>
      <c r="G240" s="4"/>
    </row>
    <row r="241" spans="3:7" x14ac:dyDescent="0.3">
      <c r="C241" s="1"/>
      <c r="D241" s="2"/>
      <c r="E241" s="3"/>
      <c r="F241" s="2"/>
      <c r="G241" s="4"/>
    </row>
    <row r="242" spans="3:7" x14ac:dyDescent="0.3">
      <c r="C242" s="1"/>
      <c r="D242" s="2"/>
      <c r="E242" s="3"/>
      <c r="F242" s="2"/>
      <c r="G242" s="4"/>
    </row>
    <row r="243" spans="3:7" x14ac:dyDescent="0.3">
      <c r="C243" s="1"/>
      <c r="D243" s="2"/>
      <c r="E243" s="3"/>
      <c r="F243" s="2"/>
      <c r="G243" s="4"/>
    </row>
    <row r="244" spans="3:7" x14ac:dyDescent="0.3">
      <c r="C244" s="1"/>
      <c r="D244" s="2"/>
      <c r="E244" s="3"/>
      <c r="F244" s="2"/>
      <c r="G244" s="4"/>
    </row>
    <row r="245" spans="3:7" x14ac:dyDescent="0.3">
      <c r="C245" s="1"/>
      <c r="D245" s="2"/>
      <c r="E245" s="3"/>
      <c r="F245" s="2"/>
      <c r="G245" s="4"/>
    </row>
    <row r="246" spans="3:7" x14ac:dyDescent="0.3">
      <c r="C246" s="1"/>
      <c r="D246" s="2"/>
      <c r="E246" s="3"/>
      <c r="F246" s="2"/>
      <c r="G246" s="4"/>
    </row>
    <row r="247" spans="3:7" x14ac:dyDescent="0.3">
      <c r="C247" s="1"/>
      <c r="D247" s="2"/>
      <c r="E247" s="3"/>
      <c r="F247" s="2"/>
      <c r="G247" s="4"/>
    </row>
    <row r="248" spans="3:7" x14ac:dyDescent="0.3">
      <c r="C248" s="1"/>
      <c r="D248" s="2"/>
      <c r="E248" s="3"/>
      <c r="F248" s="2"/>
      <c r="G248" s="4"/>
    </row>
    <row r="249" spans="3:7" x14ac:dyDescent="0.3">
      <c r="C249" s="1"/>
      <c r="D249" s="2"/>
      <c r="E249" s="3"/>
      <c r="F249" s="2"/>
      <c r="G249" s="4"/>
    </row>
    <row r="250" spans="3:7" x14ac:dyDescent="0.3">
      <c r="C250" s="1"/>
      <c r="D250" s="2"/>
      <c r="E250" s="3"/>
      <c r="F250" s="2"/>
      <c r="G250" s="4"/>
    </row>
    <row r="251" spans="3:7" x14ac:dyDescent="0.3">
      <c r="C251" s="1"/>
      <c r="D251" s="2"/>
      <c r="E251" s="3"/>
      <c r="F251" s="2"/>
      <c r="G251" s="4"/>
    </row>
    <row r="252" spans="3:7" x14ac:dyDescent="0.3">
      <c r="C252" s="1"/>
      <c r="D252" s="2"/>
      <c r="E252" s="3"/>
      <c r="F252" s="2"/>
      <c r="G252" s="4"/>
    </row>
    <row r="253" spans="3:7" x14ac:dyDescent="0.3">
      <c r="C253" s="1"/>
      <c r="D253" s="2"/>
      <c r="E253" s="3"/>
      <c r="F253" s="2"/>
      <c r="G253" s="4"/>
    </row>
    <row r="254" spans="3:7" x14ac:dyDescent="0.3">
      <c r="C254" s="1"/>
      <c r="D254" s="2"/>
      <c r="E254" s="3"/>
      <c r="F254" s="2"/>
      <c r="G254" s="4"/>
    </row>
    <row r="255" spans="3:7" x14ac:dyDescent="0.3">
      <c r="C255" s="1"/>
      <c r="D255" s="2"/>
      <c r="E255" s="3"/>
      <c r="F255" s="2"/>
      <c r="G255" s="4"/>
    </row>
    <row r="256" spans="3:7" x14ac:dyDescent="0.3">
      <c r="C256" s="1"/>
      <c r="D256" s="2"/>
      <c r="E256" s="3"/>
      <c r="F256" s="2"/>
      <c r="G256" s="4"/>
    </row>
    <row r="257" spans="3:7" x14ac:dyDescent="0.3">
      <c r="C257" s="1"/>
      <c r="D257" s="2"/>
      <c r="E257" s="3"/>
      <c r="F257" s="2"/>
      <c r="G257" s="4"/>
    </row>
    <row r="258" spans="3:7" x14ac:dyDescent="0.3">
      <c r="C258" s="1"/>
      <c r="D258" s="2"/>
      <c r="E258" s="3"/>
      <c r="F258" s="2"/>
      <c r="G258" s="4"/>
    </row>
    <row r="259" spans="3:7" x14ac:dyDescent="0.3">
      <c r="C259" s="1"/>
      <c r="D259" s="2"/>
      <c r="E259" s="3"/>
      <c r="F259" s="2"/>
      <c r="G259" s="4"/>
    </row>
    <row r="260" spans="3:7" x14ac:dyDescent="0.3">
      <c r="C260" s="1"/>
      <c r="D260" s="2"/>
      <c r="E260" s="3"/>
      <c r="F260" s="2"/>
      <c r="G260" s="4"/>
    </row>
    <row r="261" spans="3:7" x14ac:dyDescent="0.3">
      <c r="C261" s="1"/>
      <c r="D261" s="2"/>
      <c r="E261" s="3"/>
      <c r="F261" s="2"/>
      <c r="G261" s="4"/>
    </row>
    <row r="262" spans="3:7" x14ac:dyDescent="0.3">
      <c r="C262" s="1"/>
      <c r="D262" s="2"/>
      <c r="E262" s="3"/>
      <c r="F262" s="2"/>
      <c r="G262" s="4"/>
    </row>
    <row r="263" spans="3:7" x14ac:dyDescent="0.3">
      <c r="C263" s="1"/>
      <c r="D263" s="2"/>
      <c r="E263" s="3"/>
      <c r="F263" s="2"/>
      <c r="G263" s="4"/>
    </row>
    <row r="264" spans="3:7" x14ac:dyDescent="0.3">
      <c r="C264" s="1"/>
      <c r="D264" s="2"/>
      <c r="E264" s="3"/>
      <c r="F264" s="2"/>
      <c r="G264" s="4"/>
    </row>
    <row r="265" spans="3:7" x14ac:dyDescent="0.3">
      <c r="C265" s="1"/>
      <c r="D265" s="2"/>
      <c r="E265" s="3"/>
      <c r="F265" s="2"/>
      <c r="G265" s="4"/>
    </row>
    <row r="266" spans="3:7" x14ac:dyDescent="0.3">
      <c r="C266" s="1"/>
      <c r="D266" s="2"/>
      <c r="E266" s="3"/>
      <c r="F266" s="2"/>
      <c r="G266" s="4"/>
    </row>
    <row r="267" spans="3:7" x14ac:dyDescent="0.3">
      <c r="C267" s="1"/>
      <c r="D267" s="2"/>
      <c r="E267" s="3"/>
      <c r="F267" s="2"/>
      <c r="G267" s="4"/>
    </row>
    <row r="268" spans="3:7" x14ac:dyDescent="0.3">
      <c r="C268" s="1"/>
      <c r="D268" s="2"/>
      <c r="E268" s="3"/>
      <c r="F268" s="2"/>
      <c r="G268" s="4"/>
    </row>
    <row r="269" spans="3:7" x14ac:dyDescent="0.3">
      <c r="C269" s="1"/>
      <c r="D269" s="2"/>
      <c r="E269" s="3"/>
      <c r="F269" s="2"/>
      <c r="G269" s="4"/>
    </row>
    <row r="270" spans="3:7" x14ac:dyDescent="0.3">
      <c r="C270" s="1"/>
      <c r="D270" s="2"/>
      <c r="E270" s="3"/>
      <c r="F270" s="2"/>
      <c r="G270" s="4"/>
    </row>
    <row r="271" spans="3:7" x14ac:dyDescent="0.3">
      <c r="C271" s="1"/>
      <c r="D271" s="2"/>
      <c r="E271" s="3"/>
      <c r="F271" s="2"/>
      <c r="G271" s="4"/>
    </row>
    <row r="272" spans="3:7" x14ac:dyDescent="0.3">
      <c r="C272" s="1"/>
      <c r="D272" s="2"/>
      <c r="E272" s="3"/>
      <c r="F272" s="2"/>
      <c r="G272" s="4"/>
    </row>
    <row r="273" spans="3:7" x14ac:dyDescent="0.3">
      <c r="C273" s="1"/>
      <c r="D273" s="2"/>
      <c r="E273" s="3"/>
      <c r="F273" s="2"/>
      <c r="G273" s="4"/>
    </row>
    <row r="274" spans="3:7" x14ac:dyDescent="0.3">
      <c r="C274" s="1"/>
      <c r="D274" s="2"/>
      <c r="E274" s="3"/>
      <c r="F274" s="2"/>
      <c r="G274" s="4"/>
    </row>
    <row r="275" spans="3:7" x14ac:dyDescent="0.3">
      <c r="C275" s="1"/>
      <c r="D275" s="2"/>
      <c r="E275" s="3"/>
      <c r="F275" s="2"/>
      <c r="G275" s="4"/>
    </row>
    <row r="276" spans="3:7" x14ac:dyDescent="0.3">
      <c r="C276" s="1"/>
      <c r="D276" s="2"/>
      <c r="E276" s="3"/>
      <c r="F276" s="2"/>
      <c r="G276" s="4"/>
    </row>
    <row r="277" spans="3:7" x14ac:dyDescent="0.3">
      <c r="C277" s="1"/>
      <c r="D277" s="2"/>
      <c r="E277" s="3"/>
      <c r="F277" s="2"/>
      <c r="G277" s="4"/>
    </row>
    <row r="278" spans="3:7" x14ac:dyDescent="0.3">
      <c r="C278" s="1"/>
      <c r="D278" s="2"/>
      <c r="E278" s="3"/>
      <c r="F278" s="2"/>
      <c r="G278" s="4"/>
    </row>
    <row r="279" spans="3:7" x14ac:dyDescent="0.3">
      <c r="C279" s="1"/>
      <c r="D279" s="2"/>
      <c r="E279" s="3"/>
      <c r="F279" s="2"/>
      <c r="G279" s="4"/>
    </row>
    <row r="280" spans="3:7" x14ac:dyDescent="0.3">
      <c r="C280" s="1"/>
      <c r="D280" s="2"/>
      <c r="E280" s="3"/>
      <c r="F280" s="2"/>
      <c r="G280" s="4"/>
    </row>
    <row r="281" spans="3:7" x14ac:dyDescent="0.3">
      <c r="C281" s="1"/>
      <c r="D281" s="2"/>
      <c r="E281" s="3"/>
      <c r="F281" s="2"/>
      <c r="G281" s="4"/>
    </row>
    <row r="282" spans="3:7" x14ac:dyDescent="0.3">
      <c r="C282" s="1"/>
      <c r="D282" s="2"/>
      <c r="E282" s="3"/>
      <c r="F282" s="2"/>
      <c r="G282" s="4"/>
    </row>
    <row r="283" spans="3:7" x14ac:dyDescent="0.3">
      <c r="C283" s="1"/>
      <c r="D283" s="2"/>
      <c r="E283" s="3"/>
      <c r="F283" s="2"/>
      <c r="G283" s="4"/>
    </row>
    <row r="284" spans="3:7" x14ac:dyDescent="0.3">
      <c r="C284" s="1"/>
      <c r="D284" s="2"/>
      <c r="E284" s="3"/>
      <c r="F284" s="2"/>
      <c r="G284" s="4"/>
    </row>
    <row r="285" spans="3:7" x14ac:dyDescent="0.3">
      <c r="C285" s="1"/>
      <c r="D285" s="2"/>
      <c r="E285" s="3"/>
      <c r="F285" s="2"/>
      <c r="G285" s="4"/>
    </row>
    <row r="286" spans="3:7" x14ac:dyDescent="0.3">
      <c r="C286" s="1"/>
      <c r="D286" s="2"/>
      <c r="E286" s="3"/>
      <c r="F286" s="2"/>
      <c r="G286" s="4"/>
    </row>
    <row r="287" spans="3:7" x14ac:dyDescent="0.3">
      <c r="C287" s="1"/>
      <c r="D287" s="2"/>
      <c r="E287" s="3"/>
      <c r="F287" s="2"/>
      <c r="G287" s="4"/>
    </row>
    <row r="288" spans="3:7" x14ac:dyDescent="0.3">
      <c r="C288" s="1"/>
      <c r="D288" s="2"/>
      <c r="E288" s="3"/>
      <c r="F288" s="2"/>
      <c r="G288" s="4"/>
    </row>
    <row r="289" spans="3:7" x14ac:dyDescent="0.3">
      <c r="C289" s="1"/>
      <c r="D289" s="2"/>
      <c r="E289" s="3"/>
      <c r="F289" s="2"/>
      <c r="G289" s="4"/>
    </row>
    <row r="290" spans="3:7" x14ac:dyDescent="0.3">
      <c r="C290" s="1"/>
      <c r="D290" s="2"/>
      <c r="E290" s="3"/>
      <c r="F290" s="2"/>
      <c r="G290" s="4"/>
    </row>
    <row r="291" spans="3:7" x14ac:dyDescent="0.3">
      <c r="C291" s="1"/>
      <c r="D291" s="2"/>
      <c r="E291" s="3"/>
      <c r="F291" s="2"/>
      <c r="G291" s="4"/>
    </row>
    <row r="292" spans="3:7" x14ac:dyDescent="0.3">
      <c r="C292" s="1"/>
      <c r="D292" s="2"/>
      <c r="E292" s="3"/>
      <c r="F292" s="2"/>
      <c r="G292" s="4"/>
    </row>
    <row r="293" spans="3:7" x14ac:dyDescent="0.3">
      <c r="C293" s="1"/>
      <c r="D293" s="2"/>
      <c r="E293" s="3"/>
      <c r="F293" s="2"/>
      <c r="G293" s="4"/>
    </row>
    <row r="294" spans="3:7" x14ac:dyDescent="0.3">
      <c r="C294" s="1"/>
      <c r="D294" s="2"/>
      <c r="E294" s="3"/>
      <c r="F294" s="2"/>
      <c r="G294" s="4"/>
    </row>
    <row r="295" spans="3:7" x14ac:dyDescent="0.3">
      <c r="C295" s="1"/>
      <c r="D295" s="2"/>
      <c r="E295" s="3"/>
      <c r="F295" s="2"/>
      <c r="G295" s="4"/>
    </row>
    <row r="296" spans="3:7" x14ac:dyDescent="0.3">
      <c r="C296" s="1"/>
      <c r="D296" s="2"/>
      <c r="E296" s="3"/>
      <c r="F296" s="2"/>
      <c r="G296" s="4"/>
    </row>
    <row r="297" spans="3:7" x14ac:dyDescent="0.3">
      <c r="C297" s="1"/>
      <c r="D297" s="2"/>
      <c r="E297" s="3"/>
      <c r="F297" s="2"/>
      <c r="G297" s="4"/>
    </row>
    <row r="298" spans="3:7" x14ac:dyDescent="0.3">
      <c r="C298" s="1"/>
      <c r="D298" s="2"/>
      <c r="E298" s="3"/>
      <c r="F298" s="2"/>
      <c r="G298" s="4"/>
    </row>
    <row r="299" spans="3:7" x14ac:dyDescent="0.3">
      <c r="C299" s="1"/>
      <c r="D299" s="2"/>
      <c r="E299" s="3"/>
      <c r="F299" s="2"/>
      <c r="G299" s="4"/>
    </row>
    <row r="300" spans="3:7" x14ac:dyDescent="0.3">
      <c r="C300" s="1"/>
      <c r="D300" s="2"/>
      <c r="E300" s="3"/>
      <c r="F300" s="2"/>
      <c r="G300" s="4"/>
    </row>
    <row r="301" spans="3:7" x14ac:dyDescent="0.3">
      <c r="C301" s="1"/>
      <c r="D301" s="2"/>
      <c r="E301" s="3"/>
      <c r="F301" s="2"/>
      <c r="G301" s="4"/>
    </row>
    <row r="302" spans="3:7" x14ac:dyDescent="0.3">
      <c r="C302" s="1"/>
      <c r="D302" s="2"/>
      <c r="E302" s="3"/>
      <c r="F302" s="2"/>
      <c r="G302" s="4"/>
    </row>
    <row r="303" spans="3:7" x14ac:dyDescent="0.3">
      <c r="C303" s="1"/>
      <c r="D303" s="2"/>
      <c r="E303" s="3"/>
      <c r="F303" s="2"/>
      <c r="G303" s="4"/>
    </row>
    <row r="304" spans="3:7" x14ac:dyDescent="0.3">
      <c r="C304" s="1"/>
      <c r="D304" s="2"/>
      <c r="E304" s="3"/>
      <c r="F304" s="2"/>
      <c r="G304" s="4"/>
    </row>
    <row r="305" spans="3:7" x14ac:dyDescent="0.3">
      <c r="C305" s="1"/>
      <c r="D305" s="2"/>
      <c r="E305" s="3"/>
      <c r="F305" s="2"/>
      <c r="G305" s="4"/>
    </row>
    <row r="306" spans="3:7" x14ac:dyDescent="0.3">
      <c r="C306" s="1"/>
      <c r="D306" s="2"/>
      <c r="E306" s="3"/>
      <c r="F306" s="2"/>
      <c r="G306" s="4"/>
    </row>
    <row r="307" spans="3:7" x14ac:dyDescent="0.3">
      <c r="C307" s="1"/>
      <c r="D307" s="2"/>
      <c r="E307" s="3"/>
      <c r="F307" s="2"/>
      <c r="G307" s="4"/>
    </row>
    <row r="308" spans="3:7" x14ac:dyDescent="0.3">
      <c r="C308" s="1"/>
      <c r="D308" s="2"/>
      <c r="E308" s="3"/>
      <c r="F308" s="2"/>
      <c r="G308" s="4"/>
    </row>
    <row r="309" spans="3:7" x14ac:dyDescent="0.3">
      <c r="C309" s="1"/>
      <c r="D309" s="2"/>
      <c r="E309" s="3"/>
      <c r="F309" s="2"/>
      <c r="G309" s="4"/>
    </row>
    <row r="310" spans="3:7" x14ac:dyDescent="0.3">
      <c r="C310" s="1"/>
      <c r="D310" s="2"/>
      <c r="E310" s="3"/>
      <c r="F310" s="2"/>
      <c r="G310" s="4"/>
    </row>
    <row r="311" spans="3:7" x14ac:dyDescent="0.3">
      <c r="C311" s="1"/>
      <c r="D311" s="2"/>
      <c r="E311" s="3"/>
      <c r="F311" s="2"/>
      <c r="G311" s="4"/>
    </row>
    <row r="312" spans="3:7" x14ac:dyDescent="0.3">
      <c r="C312" s="1"/>
      <c r="D312" s="2"/>
      <c r="E312" s="3"/>
      <c r="F312" s="2"/>
      <c r="G312" s="4"/>
    </row>
    <row r="313" spans="3:7" x14ac:dyDescent="0.3">
      <c r="C313" s="1"/>
      <c r="D313" s="2"/>
      <c r="E313" s="3"/>
      <c r="F313" s="2"/>
      <c r="G313" s="4"/>
    </row>
    <row r="314" spans="3:7" x14ac:dyDescent="0.3">
      <c r="C314" s="1"/>
      <c r="D314" s="2"/>
      <c r="E314" s="3"/>
      <c r="F314" s="2"/>
      <c r="G314" s="4"/>
    </row>
    <row r="315" spans="3:7" x14ac:dyDescent="0.3">
      <c r="C315" s="1"/>
      <c r="D315" s="2"/>
      <c r="E315" s="3"/>
      <c r="F315" s="2"/>
      <c r="G315" s="4"/>
    </row>
    <row r="316" spans="3:7" x14ac:dyDescent="0.3">
      <c r="C316" s="1"/>
      <c r="D316" s="2"/>
      <c r="E316" s="3"/>
      <c r="F316" s="2"/>
      <c r="G316" s="4"/>
    </row>
    <row r="317" spans="3:7" x14ac:dyDescent="0.3">
      <c r="C317" s="1"/>
      <c r="D317" s="2"/>
      <c r="E317" s="3"/>
      <c r="F317" s="2"/>
      <c r="G317" s="4"/>
    </row>
    <row r="318" spans="3:7" x14ac:dyDescent="0.3">
      <c r="C318" s="1"/>
      <c r="D318" s="2"/>
      <c r="E318" s="3"/>
      <c r="F318" s="2"/>
      <c r="G318" s="4"/>
    </row>
    <row r="319" spans="3:7" x14ac:dyDescent="0.3">
      <c r="C319" s="1"/>
      <c r="D319" s="2"/>
      <c r="E319" s="3"/>
      <c r="F319" s="2"/>
      <c r="G319" s="4"/>
    </row>
    <row r="320" spans="3:7" x14ac:dyDescent="0.3">
      <c r="C320" s="1"/>
      <c r="D320" s="2"/>
      <c r="E320" s="3"/>
      <c r="F320" s="2"/>
      <c r="G320" s="4"/>
    </row>
    <row r="321" spans="3:7" x14ac:dyDescent="0.3">
      <c r="C321" s="1"/>
      <c r="D321" s="2"/>
      <c r="E321" s="3"/>
      <c r="F321" s="2"/>
      <c r="G321" s="4"/>
    </row>
    <row r="322" spans="3:7" x14ac:dyDescent="0.3">
      <c r="C322" s="1"/>
      <c r="D322" s="2"/>
      <c r="E322" s="3"/>
      <c r="F322" s="2"/>
      <c r="G322" s="4"/>
    </row>
    <row r="323" spans="3:7" x14ac:dyDescent="0.3">
      <c r="C323" s="1"/>
      <c r="D323" s="2"/>
      <c r="E323" s="3"/>
      <c r="F323" s="2"/>
      <c r="G323" s="4"/>
    </row>
    <row r="324" spans="3:7" x14ac:dyDescent="0.3">
      <c r="C324" s="1"/>
      <c r="D324" s="2"/>
      <c r="E324" s="3"/>
      <c r="F324" s="2"/>
      <c r="G324" s="4"/>
    </row>
    <row r="325" spans="3:7" x14ac:dyDescent="0.3">
      <c r="C325" s="1"/>
      <c r="D325" s="2"/>
      <c r="E325" s="3"/>
      <c r="F325" s="2"/>
      <c r="G325" s="4"/>
    </row>
    <row r="326" spans="3:7" x14ac:dyDescent="0.3">
      <c r="C326" s="1"/>
      <c r="D326" s="2"/>
      <c r="E326" s="3"/>
      <c r="F326" s="2"/>
      <c r="G326" s="4"/>
    </row>
    <row r="327" spans="3:7" x14ac:dyDescent="0.3">
      <c r="C327" s="1"/>
      <c r="D327" s="2"/>
      <c r="E327" s="3"/>
      <c r="F327" s="2"/>
      <c r="G327" s="4"/>
    </row>
    <row r="328" spans="3:7" x14ac:dyDescent="0.3">
      <c r="C328" s="1"/>
      <c r="D328" s="2"/>
      <c r="E328" s="3"/>
      <c r="F328" s="2"/>
      <c r="G328" s="4"/>
    </row>
    <row r="329" spans="3:7" x14ac:dyDescent="0.3">
      <c r="C329" s="1"/>
      <c r="D329" s="2"/>
      <c r="E329" s="3"/>
      <c r="F329" s="2"/>
      <c r="G329" s="4"/>
    </row>
    <row r="330" spans="3:7" x14ac:dyDescent="0.3">
      <c r="C330" s="1"/>
      <c r="D330" s="2"/>
      <c r="E330" s="3"/>
      <c r="F330" s="2"/>
      <c r="G330" s="4"/>
    </row>
    <row r="331" spans="3:7" x14ac:dyDescent="0.3">
      <c r="C331" s="1"/>
      <c r="D331" s="2"/>
      <c r="E331" s="3"/>
      <c r="F331" s="2"/>
      <c r="G331" s="4"/>
    </row>
    <row r="332" spans="3:7" x14ac:dyDescent="0.3">
      <c r="C332" s="1"/>
      <c r="D332" s="2"/>
      <c r="E332" s="3"/>
      <c r="F332" s="2"/>
      <c r="G332" s="4"/>
    </row>
    <row r="333" spans="3:7" x14ac:dyDescent="0.3">
      <c r="C333" s="1"/>
      <c r="D333" s="2"/>
      <c r="E333" s="3"/>
      <c r="F333" s="2"/>
      <c r="G333" s="4"/>
    </row>
    <row r="334" spans="3:7" x14ac:dyDescent="0.3">
      <c r="C334" s="1"/>
      <c r="D334" s="2"/>
      <c r="E334" s="3"/>
      <c r="F334" s="2"/>
      <c r="G334" s="4"/>
    </row>
    <row r="335" spans="3:7" x14ac:dyDescent="0.3">
      <c r="C335" s="1"/>
      <c r="D335" s="2"/>
      <c r="E335" s="3"/>
      <c r="F335" s="2"/>
      <c r="G335" s="4"/>
    </row>
    <row r="336" spans="3:7" x14ac:dyDescent="0.3">
      <c r="C336" s="1"/>
      <c r="D336" s="2"/>
      <c r="E336" s="3"/>
      <c r="F336" s="2"/>
      <c r="G336" s="4"/>
    </row>
    <row r="337" spans="3:7" x14ac:dyDescent="0.3">
      <c r="C337" s="1"/>
      <c r="D337" s="2"/>
      <c r="E337" s="3"/>
      <c r="F337" s="2"/>
      <c r="G337" s="4"/>
    </row>
    <row r="338" spans="3:7" x14ac:dyDescent="0.3">
      <c r="C338" s="1"/>
      <c r="D338" s="2"/>
      <c r="E338" s="3"/>
      <c r="F338" s="2"/>
      <c r="G338" s="4"/>
    </row>
    <row r="339" spans="3:7" x14ac:dyDescent="0.3">
      <c r="C339" s="1"/>
      <c r="D339" s="2"/>
      <c r="E339" s="3"/>
      <c r="F339" s="2"/>
      <c r="G339" s="4"/>
    </row>
    <row r="340" spans="3:7" x14ac:dyDescent="0.3">
      <c r="C340" s="1"/>
      <c r="D340" s="2"/>
      <c r="E340" s="3"/>
      <c r="F340" s="2"/>
      <c r="G340" s="4"/>
    </row>
    <row r="341" spans="3:7" x14ac:dyDescent="0.3">
      <c r="C341" s="1"/>
      <c r="D341" s="2"/>
      <c r="E341" s="3"/>
      <c r="F341" s="2"/>
      <c r="G341" s="4"/>
    </row>
    <row r="342" spans="3:7" x14ac:dyDescent="0.3">
      <c r="C342" s="1"/>
      <c r="D342" s="2"/>
      <c r="E342" s="3"/>
      <c r="F342" s="2"/>
      <c r="G342" s="4"/>
    </row>
    <row r="343" spans="3:7" x14ac:dyDescent="0.3">
      <c r="C343" s="1"/>
      <c r="D343" s="2"/>
      <c r="E343" s="3"/>
      <c r="F343" s="2"/>
      <c r="G343" s="4"/>
    </row>
    <row r="344" spans="3:7" x14ac:dyDescent="0.3">
      <c r="C344" s="1"/>
      <c r="D344" s="2"/>
      <c r="E344" s="3"/>
      <c r="F344" s="2"/>
      <c r="G344" s="4"/>
    </row>
    <row r="345" spans="3:7" x14ac:dyDescent="0.3">
      <c r="C345" s="1"/>
      <c r="D345" s="2"/>
      <c r="E345" s="3"/>
      <c r="F345" s="2"/>
      <c r="G345" s="4"/>
    </row>
    <row r="346" spans="3:7" x14ac:dyDescent="0.3">
      <c r="C346" s="1"/>
      <c r="D346" s="2"/>
      <c r="E346" s="3"/>
      <c r="F346" s="2"/>
      <c r="G346" s="4"/>
    </row>
    <row r="347" spans="3:7" x14ac:dyDescent="0.3">
      <c r="C347" s="1"/>
      <c r="D347" s="2"/>
      <c r="E347" s="3"/>
      <c r="F347" s="2"/>
      <c r="G347" s="4"/>
    </row>
    <row r="348" spans="3:7" x14ac:dyDescent="0.3">
      <c r="C348" s="1"/>
      <c r="D348" s="2"/>
      <c r="E348" s="3"/>
      <c r="F348" s="2"/>
      <c r="G348" s="4"/>
    </row>
    <row r="349" spans="3:7" x14ac:dyDescent="0.3">
      <c r="C349" s="1"/>
      <c r="D349" s="2"/>
      <c r="E349" s="3"/>
      <c r="F349" s="2"/>
      <c r="G349" s="4"/>
    </row>
    <row r="350" spans="3:7" x14ac:dyDescent="0.3">
      <c r="C350" s="1"/>
      <c r="D350" s="2"/>
      <c r="E350" s="3"/>
      <c r="F350" s="2"/>
      <c r="G350" s="4"/>
    </row>
    <row r="351" spans="3:7" x14ac:dyDescent="0.3">
      <c r="C351" s="1"/>
      <c r="D351" s="2"/>
      <c r="E351" s="3"/>
      <c r="F351" s="2"/>
      <c r="G351" s="4"/>
    </row>
    <row r="352" spans="3:7" x14ac:dyDescent="0.3">
      <c r="C352" s="1"/>
      <c r="D352" s="2"/>
      <c r="E352" s="3"/>
      <c r="F352" s="2"/>
      <c r="G352" s="4"/>
    </row>
    <row r="353" spans="3:7" x14ac:dyDescent="0.3">
      <c r="C353" s="1"/>
      <c r="D353" s="2"/>
      <c r="E353" s="3"/>
      <c r="F353" s="2"/>
      <c r="G353" s="4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2015-06-05T18:17:20Z</dcterms:created>
  <dcterms:modified xsi:type="dcterms:W3CDTF">2018-11-28T16:07:39Z</dcterms:modified>
</cp:coreProperties>
</file>